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9C613942-9486-41BF-8271-51A44C771118}" xr6:coauthVersionLast="47" xr6:coauthVersionMax="47" xr10:uidLastSave="{00000000-0000-0000-0000-000000000000}"/>
  <bookViews>
    <workbookView xWindow="-108" yWindow="-108" windowWidth="23256" windowHeight="12456" tabRatio="847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1" i="13" l="1"/>
  <c r="R43" i="13"/>
  <c r="S51" i="13"/>
  <c r="S43" i="13"/>
  <c r="R40" i="13"/>
  <c r="R41" i="13"/>
  <c r="S42" i="13"/>
  <c r="R50" i="13"/>
  <c r="S40" i="13"/>
  <c r="S41" i="13"/>
  <c r="R48" i="13"/>
  <c r="R49" i="13"/>
  <c r="S50" i="13"/>
  <c r="R42" i="13"/>
  <c r="R44" i="13"/>
  <c r="S48" i="13"/>
  <c r="S49" i="13"/>
  <c r="R52" i="13"/>
  <c r="S44" i="13"/>
  <c r="R45" i="13"/>
  <c r="S52" i="13"/>
  <c r="R38" i="13"/>
  <c r="S45" i="13"/>
  <c r="R46" i="13"/>
  <c r="S38" i="13"/>
  <c r="R39" i="13"/>
  <c r="S46" i="13"/>
  <c r="R47" i="13"/>
  <c r="S39" i="13"/>
  <c r="S47" i="13"/>
</calcChain>
</file>

<file path=xl/sharedStrings.xml><?xml version="1.0" encoding="utf-8"?>
<sst xmlns="http://schemas.openxmlformats.org/spreadsheetml/2006/main" count="423" uniqueCount="179">
  <si>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</si>
  <si>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</si>
  <si>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</si>
  <si>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</si>
  <si>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</si>
  <si>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</si>
  <si>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</si>
  <si>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</si>
  <si>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</si>
  <si>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</si>
  <si>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</si>
  <si>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</si>
  <si>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</si>
  <si>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</si>
  <si>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</si>
  <si>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</si>
  <si>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</si>
  <si>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</si>
  <si>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</si>
  <si>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</si>
  <si>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</si>
  <si>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</si>
  <si>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</si>
  <si>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</si>
  <si>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</si>
  <si>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</si>
  <si>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</si>
  <si>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</si>
  <si>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</si>
  <si>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</si>
  <si>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</si>
  <si>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</si>
  <si>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</si>
  <si>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</si>
  <si>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</si>
  <si>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</si>
  <si>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</si>
  <si>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</si>
  <si>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</si>
  <si>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</si>
  <si>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</si>
  <si>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</si>
  <si>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</si>
  <si>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</si>
  <si>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</si>
  <si>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</si>
  <si>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</si>
  <si>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</si>
  <si>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</si>
  <si>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</si>
  <si>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</si>
  <si>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</si>
  <si>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</si>
  <si>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</si>
  <si>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</si>
  <si>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</si>
  <si>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</si>
  <si>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</si>
  <si>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</si>
  <si>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</si>
  <si>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</si>
  <si>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</si>
  <si>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</si>
  <si>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</si>
  <si>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</si>
  <si>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</si>
  <si>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</si>
  <si>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</si>
  <si>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</si>
  <si>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</si>
  <si>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</si>
  <si>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</si>
  <si>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</si>
  <si>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</si>
  <si>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</si>
  <si>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</si>
  <si>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</si>
  <si>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</si>
  <si>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</si>
  <si>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</si>
  <si>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</si>
  <si>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</si>
  <si>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</si>
  <si>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</si>
  <si>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</si>
  <si>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</si>
  <si>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</si>
  <si>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</si>
  <si>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</si>
  <si>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</si>
  <si>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</si>
  <si>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</si>
  <si>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</si>
  <si>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</si>
  <si>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</si>
  <si>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</si>
  <si>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</si>
  <si>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PN</t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</si>
  <si>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</si>
  <si>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</si>
  <si>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</si>
  <si>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</si>
  <si>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</si>
  <si>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</si>
  <si>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</si>
  <si>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</si>
  <si>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</si>
  <si>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</si>
  <si>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</si>
  <si>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</si>
  <si>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</si>
  <si>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</si>
  <si>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</si>
  <si>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</si>
  <si>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</si>
  <si>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</si>
  <si>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</si>
  <si>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</si>
  <si>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</si>
  <si>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</si>
  <si>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</si>
  <si>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</si>
  <si>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</si>
  <si>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</si>
  <si>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</si>
  <si>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</si>
  <si>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</si>
  <si>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</si>
  <si>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</si>
  <si>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</si>
  <si>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</si>
  <si>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</si>
  <si>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</si>
  <si>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</si>
  <si>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</si>
  <si>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</si>
  <si>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</si>
  <si>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</si>
  <si>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</si>
  <si>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</si>
  <si>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</si>
  <si>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</si>
  <si>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</si>
  <si>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</si>
  <si>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</si>
  <si>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</si>
  <si>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</si>
  <si>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</si>
  <si>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</si>
  <si>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</si>
  <si>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</si>
  <si>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</si>
  <si>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</si>
  <si>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</si>
  <si>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</si>
  <si>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</si>
  <si>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</si>
  <si>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</si>
  <si>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</si>
  <si>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</si>
  <si>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</si>
  <si>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</si>
  <si>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</si>
  <si>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</si>
  <si>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</si>
  <si>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</si>
  <si>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</si>
  <si>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</si>
  <si>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</si>
  <si>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</si>
  <si>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</si>
  <si>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</si>
  <si>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</si>
  <si>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</si>
  <si>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</si>
  <si>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熟練1</t>
    <rPh sb="0" eb="2">
      <t>ジュクレン</t>
    </rPh>
    <phoneticPr fontId="1"/>
  </si>
  <si>
    <t>JSJSJS</t>
    <phoneticPr fontId="1"/>
  </si>
  <si>
    <t>JSJSJS</t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</si>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</sst>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tabSelected="1" workbookViewId="0">
      <selection activeCell="C9" sqref="C9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0"/>
      <c r="M3" s="40"/>
    </row>
    <row r="4" spans="1:13">
      <c r="B4" s="15" t="s">
        <v>90</v>
      </c>
      <c r="C4" s="15" t="s">
        <v>91</v>
      </c>
      <c r="D4" s="15" t="s">
        <v>89</v>
      </c>
      <c r="E4" s="15"/>
      <c r="F4" s="15" t="s">
        <v>92</v>
      </c>
      <c r="G4" s="15" t="s">
        <v>86</v>
      </c>
      <c r="H4" s="15" t="s">
        <v>87</v>
      </c>
      <c r="I4" s="15" t="s">
        <v>93</v>
      </c>
      <c r="J4" s="15"/>
      <c r="K4" s="16"/>
      <c r="L4" s="16">
        <v>0</v>
      </c>
      <c r="M4" s="16"/>
    </row>
    <row r="5" spans="1:13">
      <c r="B5" s="15"/>
      <c r="C5" s="15" t="s">
        <v>94</v>
      </c>
      <c r="D5" s="15"/>
      <c r="E5" s="15"/>
      <c r="F5" s="15"/>
      <c r="G5" s="15"/>
      <c r="H5" s="15"/>
      <c r="I5" s="16" t="s">
        <v>95</v>
      </c>
      <c r="J5" s="16"/>
      <c r="K5" s="16"/>
      <c r="L5" s="16">
        <v>0</v>
      </c>
      <c r="M5" s="16"/>
    </row>
    <row r="6" spans="1:13">
      <c r="B6" s="15"/>
      <c r="C6" s="15" t="s">
        <v>96</v>
      </c>
      <c r="D6" s="15"/>
      <c r="E6" s="15"/>
      <c r="F6" s="15"/>
      <c r="G6" s="15"/>
      <c r="H6" s="15"/>
      <c r="I6" s="16" t="s">
        <v>97</v>
      </c>
      <c r="J6" s="16"/>
      <c r="K6" s="16"/>
      <c r="L6" s="16">
        <v>0</v>
      </c>
      <c r="M6" s="16"/>
    </row>
    <row r="7" spans="1:13">
      <c r="B7" s="15"/>
      <c r="C7" s="15" t="s">
        <v>177</v>
      </c>
      <c r="D7" s="15"/>
      <c r="E7" s="15"/>
      <c r="F7" s="15"/>
      <c r="G7" s="15"/>
      <c r="H7" s="15"/>
      <c r="I7" s="15" t="s">
        <v>98</v>
      </c>
      <c r="J7" s="15"/>
      <c r="K7" s="15"/>
      <c r="L7" s="15">
        <v>0</v>
      </c>
      <c r="M7" s="15"/>
    </row>
    <row r="8" spans="1:13">
      <c r="B8" s="15"/>
      <c r="C8" s="15" t="s">
        <v>178</v>
      </c>
      <c r="D8" s="15"/>
      <c r="E8" s="15"/>
      <c r="F8" s="15"/>
      <c r="G8" s="15"/>
      <c r="H8" s="15"/>
      <c r="I8" s="15" t="s">
        <v>176</v>
      </c>
      <c r="J8" s="15"/>
      <c r="K8" s="15"/>
      <c r="L8" s="40">
        <v>0</v>
      </c>
      <c r="M8" s="40"/>
    </row>
    <row r="9" spans="1:13">
      <c r="B9" s="15"/>
      <c r="C9" s="15"/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opLeftCell="C1" zoomScaleNormal="100" workbookViewId="0">
      <selection activeCell="C6" sqref="C6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>
      <c r="A1" s="24" t="s">
        <v>99</v>
      </c>
      <c r="B1" s="46" t="s">
        <v>100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7" t="s">
        <v>101</v>
      </c>
      <c r="W1" s="58"/>
      <c r="X1" s="58"/>
      <c r="Y1" s="58"/>
      <c r="Z1" s="54" t="s">
        <v>102</v>
      </c>
      <c r="AA1" s="55"/>
      <c r="AB1" s="55"/>
      <c r="AC1" s="56"/>
      <c r="AD1" s="47" t="s">
        <v>103</v>
      </c>
      <c r="AE1" s="48"/>
      <c r="AF1" s="48"/>
      <c r="AG1" s="49"/>
      <c r="AH1" s="50" t="s">
        <v>104</v>
      </c>
      <c r="AI1" s="50"/>
      <c r="AJ1" s="50"/>
      <c r="AK1" s="50"/>
      <c r="AL1" s="50" t="s">
        <v>105</v>
      </c>
      <c r="AM1" s="50"/>
      <c r="AN1" s="50"/>
      <c r="AO1" s="50"/>
      <c r="AP1" s="65" t="s">
        <v>106</v>
      </c>
      <c r="AQ1" s="65"/>
      <c r="AR1" s="65"/>
      <c r="AS1" s="65"/>
      <c r="AT1" s="46" t="s">
        <v>107</v>
      </c>
      <c r="AU1" s="46"/>
      <c r="AV1" s="46"/>
      <c r="AW1" s="46"/>
      <c r="AX1" s="46"/>
      <c r="AY1" s="46"/>
      <c r="AZ1" s="46"/>
      <c r="BA1" s="46"/>
    </row>
    <row r="2" spans="1:53" s="26" customFormat="1">
      <c r="A2" s="20" t="s">
        <v>77</v>
      </c>
      <c r="B2" s="51" t="s">
        <v>12</v>
      </c>
      <c r="C2" s="52"/>
      <c r="D2" s="52"/>
      <c r="E2" s="53"/>
      <c r="F2" s="51" t="s">
        <v>108</v>
      </c>
      <c r="G2" s="52"/>
      <c r="H2" s="52"/>
      <c r="I2" s="53"/>
      <c r="J2" s="51" t="s">
        <v>109</v>
      </c>
      <c r="K2" s="52"/>
      <c r="L2" s="52"/>
      <c r="M2" s="53"/>
      <c r="N2" s="51" t="s">
        <v>39</v>
      </c>
      <c r="O2" s="52"/>
      <c r="P2" s="52"/>
      <c r="Q2" s="53"/>
      <c r="R2" s="51" t="s">
        <v>110</v>
      </c>
      <c r="S2" s="52"/>
      <c r="T2" s="52"/>
      <c r="U2" s="53"/>
      <c r="V2" s="51" t="s">
        <v>108</v>
      </c>
      <c r="W2" s="52"/>
      <c r="X2" s="52"/>
      <c r="Y2" s="53"/>
      <c r="Z2" s="51" t="s">
        <v>12</v>
      </c>
      <c r="AA2" s="52"/>
      <c r="AB2" s="52"/>
      <c r="AC2" s="53"/>
      <c r="AD2" s="51" t="s">
        <v>111</v>
      </c>
      <c r="AE2" s="52"/>
      <c r="AF2" s="52"/>
      <c r="AG2" s="53"/>
      <c r="AH2" s="51" t="s">
        <v>111</v>
      </c>
      <c r="AI2" s="52"/>
      <c r="AJ2" s="52"/>
      <c r="AK2" s="53"/>
      <c r="AL2" s="51" t="s">
        <v>111</v>
      </c>
      <c r="AM2" s="52"/>
      <c r="AN2" s="52"/>
      <c r="AO2" s="53"/>
      <c r="AP2" s="51" t="s">
        <v>111</v>
      </c>
      <c r="AQ2" s="52"/>
      <c r="AR2" s="52"/>
      <c r="AS2" s="53"/>
      <c r="AT2" s="51" t="s">
        <v>112</v>
      </c>
      <c r="AU2" s="52"/>
      <c r="AV2" s="52"/>
      <c r="AW2" s="53"/>
      <c r="AX2" s="51" t="s">
        <v>112</v>
      </c>
      <c r="AY2" s="52"/>
      <c r="AZ2" s="52"/>
      <c r="BA2" s="53"/>
    </row>
    <row r="3" spans="1:53" s="26" customFormat="1">
      <c r="A3" s="20" t="s">
        <v>113</v>
      </c>
      <c r="B3" s="51" t="s">
        <v>114</v>
      </c>
      <c r="C3" s="52"/>
      <c r="D3" s="52"/>
      <c r="E3" s="53"/>
      <c r="F3" s="51" t="s">
        <v>114</v>
      </c>
      <c r="G3" s="52"/>
      <c r="H3" s="52"/>
      <c r="I3" s="53"/>
      <c r="J3" s="51" t="s">
        <v>114</v>
      </c>
      <c r="K3" s="52"/>
      <c r="L3" s="52"/>
      <c r="M3" s="53"/>
      <c r="N3" s="51" t="s">
        <v>114</v>
      </c>
      <c r="O3" s="52"/>
      <c r="P3" s="52"/>
      <c r="Q3" s="53"/>
      <c r="R3" s="51" t="s">
        <v>114</v>
      </c>
      <c r="S3" s="52"/>
      <c r="T3" s="52"/>
      <c r="U3" s="53"/>
      <c r="V3" s="51" t="s">
        <v>114</v>
      </c>
      <c r="W3" s="52"/>
      <c r="X3" s="52"/>
      <c r="Y3" s="53"/>
      <c r="Z3" s="51" t="s">
        <v>114</v>
      </c>
      <c r="AA3" s="52"/>
      <c r="AB3" s="52"/>
      <c r="AC3" s="53"/>
      <c r="AD3" s="51" t="s">
        <v>114</v>
      </c>
      <c r="AE3" s="52"/>
      <c r="AF3" s="52"/>
      <c r="AG3" s="53"/>
      <c r="AH3" s="51" t="s">
        <v>114</v>
      </c>
      <c r="AI3" s="52"/>
      <c r="AJ3" s="52"/>
      <c r="AK3" s="53"/>
      <c r="AL3" s="51" t="s">
        <v>114</v>
      </c>
      <c r="AM3" s="52"/>
      <c r="AN3" s="52"/>
      <c r="AO3" s="53"/>
      <c r="AP3" s="51" t="s">
        <v>114</v>
      </c>
      <c r="AQ3" s="52"/>
      <c r="AR3" s="52"/>
      <c r="AS3" s="53"/>
      <c r="AT3" s="51" t="s">
        <v>114</v>
      </c>
      <c r="AU3" s="52"/>
      <c r="AV3" s="52"/>
      <c r="AW3" s="53"/>
      <c r="AX3" s="51" t="s">
        <v>115</v>
      </c>
      <c r="AY3" s="52"/>
      <c r="AZ3" s="52"/>
      <c r="BA3" s="53"/>
    </row>
    <row r="4" spans="1:53" s="26" customFormat="1" ht="36">
      <c r="A4" s="20" t="s">
        <v>116</v>
      </c>
      <c r="B4" s="24" t="s">
        <v>117</v>
      </c>
      <c r="C4" s="24" t="s">
        <v>118</v>
      </c>
      <c r="D4" s="24" t="s">
        <v>119</v>
      </c>
      <c r="E4" s="24" t="s">
        <v>120</v>
      </c>
      <c r="F4" s="24" t="s">
        <v>117</v>
      </c>
      <c r="G4" s="24" t="s">
        <v>118</v>
      </c>
      <c r="H4" s="24" t="s">
        <v>119</v>
      </c>
      <c r="I4" s="24" t="s">
        <v>120</v>
      </c>
      <c r="J4" s="24" t="s">
        <v>117</v>
      </c>
      <c r="K4" s="24" t="s">
        <v>118</v>
      </c>
      <c r="L4" s="24" t="s">
        <v>119</v>
      </c>
      <c r="M4" s="24" t="s">
        <v>120</v>
      </c>
      <c r="N4" s="24" t="s">
        <v>117</v>
      </c>
      <c r="O4" s="24" t="s">
        <v>118</v>
      </c>
      <c r="P4" s="24" t="s">
        <v>119</v>
      </c>
      <c r="Q4" s="24" t="s">
        <v>120</v>
      </c>
      <c r="R4" s="24" t="s">
        <v>117</v>
      </c>
      <c r="S4" s="24" t="s">
        <v>118</v>
      </c>
      <c r="T4" s="24" t="s">
        <v>119</v>
      </c>
      <c r="U4" s="24" t="s">
        <v>120</v>
      </c>
      <c r="V4" s="24" t="s">
        <v>117</v>
      </c>
      <c r="W4" s="24" t="s">
        <v>118</v>
      </c>
      <c r="X4" s="24" t="s">
        <v>119</v>
      </c>
      <c r="Y4" s="24" t="s">
        <v>120</v>
      </c>
      <c r="Z4" s="24" t="s">
        <v>117</v>
      </c>
      <c r="AA4" s="24" t="s">
        <v>118</v>
      </c>
      <c r="AB4" s="24" t="s">
        <v>119</v>
      </c>
      <c r="AC4" s="24" t="s">
        <v>120</v>
      </c>
      <c r="AD4" s="24" t="s">
        <v>117</v>
      </c>
      <c r="AE4" s="24" t="s">
        <v>118</v>
      </c>
      <c r="AF4" s="24" t="s">
        <v>119</v>
      </c>
      <c r="AG4" s="24" t="s">
        <v>120</v>
      </c>
      <c r="AH4" s="24" t="s">
        <v>117</v>
      </c>
      <c r="AI4" s="24" t="s">
        <v>118</v>
      </c>
      <c r="AJ4" s="24" t="s">
        <v>119</v>
      </c>
      <c r="AK4" s="24" t="s">
        <v>120</v>
      </c>
      <c r="AL4" s="24" t="s">
        <v>117</v>
      </c>
      <c r="AM4" s="24" t="s">
        <v>118</v>
      </c>
      <c r="AN4" s="24" t="s">
        <v>119</v>
      </c>
      <c r="AO4" s="24" t="s">
        <v>120</v>
      </c>
      <c r="AP4" s="24" t="s">
        <v>117</v>
      </c>
      <c r="AQ4" s="24" t="s">
        <v>118</v>
      </c>
      <c r="AR4" s="24" t="s">
        <v>119</v>
      </c>
      <c r="AS4" s="24" t="s">
        <v>120</v>
      </c>
      <c r="AT4" s="24" t="s">
        <v>117</v>
      </c>
      <c r="AU4" s="24" t="s">
        <v>118</v>
      </c>
      <c r="AV4" s="24" t="s">
        <v>119</v>
      </c>
      <c r="AW4" s="24" t="s">
        <v>120</v>
      </c>
      <c r="AX4" s="24" t="s">
        <v>117</v>
      </c>
      <c r="AY4" s="24" t="s">
        <v>118</v>
      </c>
      <c r="AZ4" s="24" t="s">
        <v>119</v>
      </c>
      <c r="BA4" s="24" t="s">
        <v>120</v>
      </c>
    </row>
    <row r="5" spans="1:53">
      <c r="A5" s="20" t="s">
        <v>121</v>
      </c>
      <c r="B5" s="6">
        <v>4</v>
      </c>
      <c r="C5" s="6">
        <v>4</v>
      </c>
      <c r="D5" s="6">
        <v>13</v>
      </c>
      <c r="E5" s="6"/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0</v>
      </c>
      <c r="X5" s="6">
        <v>3</v>
      </c>
      <c r="Y5" s="6"/>
      <c r="Z5" s="6"/>
      <c r="AA5" s="6">
        <v>1</v>
      </c>
      <c r="AB5" s="6">
        <v>1</v>
      </c>
      <c r="AC5" s="6"/>
      <c r="AD5" s="6">
        <v>0</v>
      </c>
      <c r="AE5" s="6">
        <v>1</v>
      </c>
      <c r="AF5" s="6">
        <v>3</v>
      </c>
      <c r="AG5" s="6"/>
      <c r="AH5" s="6">
        <v>0</v>
      </c>
      <c r="AI5" s="6">
        <v>0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>
      <c r="A6" s="20" t="s">
        <v>122</v>
      </c>
      <c r="B6" s="6">
        <v>1</v>
      </c>
      <c r="C6" s="6">
        <v>2</v>
      </c>
      <c r="D6" s="6">
        <v>3</v>
      </c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0</v>
      </c>
      <c r="X6" s="6">
        <v>3</v>
      </c>
      <c r="Y6" s="6"/>
      <c r="Z6" s="6"/>
      <c r="AA6" s="6">
        <v>0</v>
      </c>
      <c r="AB6" s="6">
        <v>0</v>
      </c>
      <c r="AC6" s="6"/>
      <c r="AD6" s="6">
        <v>0</v>
      </c>
      <c r="AE6" s="6">
        <v>1</v>
      </c>
      <c r="AF6" s="6">
        <v>3</v>
      </c>
      <c r="AG6" s="6"/>
      <c r="AH6" s="6">
        <v>0</v>
      </c>
      <c r="AI6" s="6">
        <v>0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0</v>
      </c>
      <c r="X7" s="6">
        <v>3</v>
      </c>
      <c r="Y7" s="6"/>
      <c r="Z7" s="6"/>
      <c r="AA7" s="6">
        <v>0</v>
      </c>
      <c r="AB7" s="6">
        <v>0</v>
      </c>
      <c r="AC7" s="6"/>
      <c r="AD7" s="6">
        <v>0</v>
      </c>
      <c r="AE7" s="6">
        <v>1</v>
      </c>
      <c r="AF7" s="6">
        <v>3</v>
      </c>
      <c r="AG7" s="6"/>
      <c r="AH7" s="6">
        <v>0</v>
      </c>
      <c r="AI7" s="6">
        <v>0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>
      <c r="A8" s="20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/>
      <c r="S8" s="63"/>
      <c r="T8" s="63"/>
      <c r="U8" s="64"/>
      <c r="V8" s="59"/>
      <c r="W8" s="60"/>
      <c r="X8" s="60"/>
      <c r="Y8" s="61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59"/>
      <c r="AQ8" s="60"/>
      <c r="AR8" s="60"/>
      <c r="AS8" s="61"/>
      <c r="AT8" s="62"/>
      <c r="AU8" s="63"/>
      <c r="AV8" s="63"/>
      <c r="AW8" s="63"/>
      <c r="AX8" s="63"/>
      <c r="AY8" s="63"/>
      <c r="AZ8" s="63"/>
      <c r="BA8" s="64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10" sqref="AB10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4" t="s">
        <v>123</v>
      </c>
      <c r="B1" s="44" t="s">
        <v>124</v>
      </c>
      <c r="C1" s="44" t="s">
        <v>125</v>
      </c>
      <c r="D1" s="44" t="s">
        <v>126</v>
      </c>
      <c r="E1" s="75" t="s">
        <v>115</v>
      </c>
      <c r="F1" s="78" t="s">
        <v>127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66" t="s">
        <v>128</v>
      </c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8"/>
      <c r="AH1" s="71" t="s">
        <v>129</v>
      </c>
      <c r="AI1" s="73"/>
      <c r="AJ1" s="44" t="s">
        <v>10</v>
      </c>
      <c r="AK1" s="71" t="s">
        <v>130</v>
      </c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3"/>
    </row>
    <row r="2" spans="1:52">
      <c r="A2" s="74"/>
      <c r="B2" s="74"/>
      <c r="C2" s="74"/>
      <c r="D2" s="74"/>
      <c r="E2" s="75"/>
      <c r="F2" s="69" t="s">
        <v>100</v>
      </c>
      <c r="G2" s="69" t="s">
        <v>102</v>
      </c>
      <c r="H2" s="69" t="s">
        <v>131</v>
      </c>
      <c r="I2" s="69" t="s">
        <v>101</v>
      </c>
      <c r="J2" s="69" t="s">
        <v>175</v>
      </c>
      <c r="K2" s="69" t="s">
        <v>103</v>
      </c>
      <c r="L2" s="69" t="s">
        <v>104</v>
      </c>
      <c r="M2" s="69" t="s">
        <v>105</v>
      </c>
      <c r="N2" s="69" t="s">
        <v>106</v>
      </c>
      <c r="O2" s="69" t="s">
        <v>107</v>
      </c>
      <c r="P2" s="76"/>
      <c r="Q2" s="76"/>
      <c r="R2" s="71" t="s">
        <v>12</v>
      </c>
      <c r="S2" s="72"/>
      <c r="T2" s="72"/>
      <c r="U2" s="73"/>
      <c r="V2" s="71" t="s">
        <v>108</v>
      </c>
      <c r="W2" s="72"/>
      <c r="X2" s="72"/>
      <c r="Y2" s="73"/>
      <c r="Z2" s="71" t="s">
        <v>132</v>
      </c>
      <c r="AA2" s="72"/>
      <c r="AB2" s="72"/>
      <c r="AC2" s="73"/>
      <c r="AD2" s="71" t="s">
        <v>36</v>
      </c>
      <c r="AE2" s="72"/>
      <c r="AF2" s="72"/>
      <c r="AG2" s="73"/>
      <c r="AH2" s="44" t="s">
        <v>133</v>
      </c>
      <c r="AI2" s="44" t="s">
        <v>134</v>
      </c>
      <c r="AJ2" s="74"/>
      <c r="AK2" s="71" t="s">
        <v>135</v>
      </c>
      <c r="AL2" s="72"/>
      <c r="AM2" s="72"/>
      <c r="AN2" s="72"/>
      <c r="AO2" s="72"/>
      <c r="AP2" s="72"/>
      <c r="AQ2" s="72"/>
      <c r="AR2" s="73"/>
      <c r="AS2" s="43" t="s">
        <v>136</v>
      </c>
      <c r="AT2" s="43"/>
      <c r="AU2" s="43"/>
      <c r="AV2" s="43"/>
      <c r="AW2" s="43"/>
      <c r="AX2" s="43"/>
      <c r="AY2" s="43"/>
      <c r="AZ2" s="43"/>
    </row>
    <row r="3" spans="1:52" s="38" customFormat="1" ht="36">
      <c r="A3" s="45"/>
      <c r="B3" s="45"/>
      <c r="C3" s="45"/>
      <c r="D3" s="45"/>
      <c r="E3" s="75"/>
      <c r="F3" s="70"/>
      <c r="G3" s="70"/>
      <c r="H3" s="70"/>
      <c r="I3" s="70"/>
      <c r="J3" s="70"/>
      <c r="K3" s="70"/>
      <c r="L3" s="70"/>
      <c r="M3" s="70"/>
      <c r="N3" s="70"/>
      <c r="O3" s="70"/>
      <c r="P3" s="77"/>
      <c r="Q3" s="77"/>
      <c r="R3" s="36" t="s">
        <v>117</v>
      </c>
      <c r="S3" s="37" t="s">
        <v>137</v>
      </c>
      <c r="T3" s="37" t="s">
        <v>138</v>
      </c>
      <c r="U3" s="37" t="s">
        <v>139</v>
      </c>
      <c r="V3" s="36" t="s">
        <v>117</v>
      </c>
      <c r="W3" s="37" t="s">
        <v>137</v>
      </c>
      <c r="X3" s="37" t="s">
        <v>138</v>
      </c>
      <c r="Y3" s="37" t="s">
        <v>139</v>
      </c>
      <c r="Z3" s="36" t="s">
        <v>117</v>
      </c>
      <c r="AA3" s="37" t="s">
        <v>137</v>
      </c>
      <c r="AB3" s="37" t="s">
        <v>138</v>
      </c>
      <c r="AC3" s="37" t="s">
        <v>139</v>
      </c>
      <c r="AD3" s="36" t="s">
        <v>117</v>
      </c>
      <c r="AE3" s="37" t="s">
        <v>137</v>
      </c>
      <c r="AF3" s="37" t="s">
        <v>138</v>
      </c>
      <c r="AG3" s="37" t="s">
        <v>139</v>
      </c>
      <c r="AH3" s="45"/>
      <c r="AI3" s="45"/>
      <c r="AJ3" s="45"/>
      <c r="AK3" s="36" t="s">
        <v>12</v>
      </c>
      <c r="AL3" s="36" t="s">
        <v>140</v>
      </c>
      <c r="AM3" s="36" t="s">
        <v>141</v>
      </c>
      <c r="AN3" s="36" t="s">
        <v>142</v>
      </c>
      <c r="AO3" s="36" t="s">
        <v>143</v>
      </c>
      <c r="AP3" s="36" t="s">
        <v>144</v>
      </c>
      <c r="AQ3" s="36" t="s">
        <v>145</v>
      </c>
      <c r="AR3" s="36" t="s">
        <v>146</v>
      </c>
      <c r="AS3" s="36" t="s">
        <v>12</v>
      </c>
      <c r="AT3" s="36" t="s">
        <v>140</v>
      </c>
      <c r="AU3" s="36" t="s">
        <v>141</v>
      </c>
      <c r="AV3" s="36" t="s">
        <v>142</v>
      </c>
      <c r="AW3" s="36" t="s">
        <v>143</v>
      </c>
      <c r="AX3" s="36" t="s">
        <v>144</v>
      </c>
      <c r="AY3" s="36" t="s">
        <v>145</v>
      </c>
      <c r="AZ3" s="36" t="s">
        <v>146</v>
      </c>
    </row>
    <row r="4" spans="1:52">
      <c r="A4" s="1">
        <v>1</v>
      </c>
      <c r="B4" s="7" t="s">
        <v>147</v>
      </c>
      <c r="C4" s="7" t="s">
        <v>148</v>
      </c>
      <c r="D4" s="7">
        <v>102275</v>
      </c>
      <c r="E4" s="17">
        <v>0</v>
      </c>
      <c r="F4" s="23"/>
      <c r="G4" s="23" t="s">
        <v>149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>
        <v>0</v>
      </c>
      <c r="Z4" s="17"/>
      <c r="AA4" s="17">
        <v>0</v>
      </c>
      <c r="AB4" s="17">
        <v>0</v>
      </c>
      <c r="AC4" s="17">
        <v>0</v>
      </c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39"/>
      <c r="AV4" s="16"/>
      <c r="AW4" s="16"/>
      <c r="AX4" s="16"/>
      <c r="AY4" s="16"/>
      <c r="AZ4" s="16"/>
    </row>
    <row r="5" spans="1:52">
      <c r="A5" s="1">
        <v>2</v>
      </c>
      <c r="B5" s="7" t="s">
        <v>150</v>
      </c>
      <c r="C5" s="7" t="s">
        <v>151</v>
      </c>
      <c r="D5" s="7">
        <v>21574</v>
      </c>
      <c r="E5" s="17">
        <v>5</v>
      </c>
      <c r="F5" s="23" t="s">
        <v>149</v>
      </c>
      <c r="G5" s="23"/>
      <c r="H5" s="23"/>
      <c r="I5" s="42"/>
      <c r="J5" s="16"/>
      <c r="K5" s="23" t="s">
        <v>149</v>
      </c>
      <c r="L5" s="16"/>
      <c r="M5" s="16"/>
      <c r="N5" s="16"/>
      <c r="O5" s="23" t="s">
        <v>149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39"/>
      <c r="AV5" s="15"/>
      <c r="AW5" s="15"/>
      <c r="AX5" s="15"/>
      <c r="AY5" s="15"/>
      <c r="AZ5" s="15"/>
    </row>
    <row r="6" spans="1:52">
      <c r="A6" s="1">
        <v>3</v>
      </c>
      <c r="B6" s="7" t="s">
        <v>152</v>
      </c>
      <c r="C6" s="7" t="s">
        <v>151</v>
      </c>
      <c r="D6" s="7">
        <v>163361</v>
      </c>
      <c r="E6" s="17">
        <v>5</v>
      </c>
      <c r="F6" s="23" t="s">
        <v>149</v>
      </c>
      <c r="G6" s="34"/>
      <c r="H6" s="23"/>
      <c r="I6" s="23" t="s">
        <v>149</v>
      </c>
      <c r="J6" s="16" t="s">
        <v>149</v>
      </c>
      <c r="K6" s="34"/>
      <c r="L6" s="33"/>
      <c r="M6" s="33"/>
      <c r="N6" s="34"/>
      <c r="O6" s="23" t="s">
        <v>149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39"/>
      <c r="AV6" s="15"/>
      <c r="AW6" s="15"/>
      <c r="AX6" s="15"/>
      <c r="AY6" s="15"/>
      <c r="AZ6" s="15"/>
    </row>
    <row r="7" spans="1:52">
      <c r="A7" s="1">
        <v>4</v>
      </c>
      <c r="B7" s="7" t="s">
        <v>153</v>
      </c>
      <c r="C7" s="7" t="s">
        <v>151</v>
      </c>
      <c r="D7" s="7">
        <v>163521</v>
      </c>
      <c r="E7" s="17">
        <v>5</v>
      </c>
      <c r="F7" s="23" t="s">
        <v>149</v>
      </c>
      <c r="G7" s="23"/>
      <c r="H7" s="23"/>
      <c r="I7" s="23" t="s">
        <v>149</v>
      </c>
      <c r="J7" s="16" t="s">
        <v>149</v>
      </c>
      <c r="K7" s="16"/>
      <c r="L7" s="16"/>
      <c r="M7" s="16"/>
      <c r="N7" s="16"/>
      <c r="O7" s="23" t="s">
        <v>149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39"/>
      <c r="AV7" s="15"/>
      <c r="AW7" s="15"/>
      <c r="AX7" s="15"/>
      <c r="AY7" s="15"/>
      <c r="AZ7" s="15"/>
    </row>
    <row r="8" spans="1:52">
      <c r="A8" s="1">
        <v>5</v>
      </c>
      <c r="B8" s="7" t="s">
        <v>155</v>
      </c>
      <c r="C8" s="7" t="s">
        <v>154</v>
      </c>
      <c r="D8" s="7">
        <v>56417</v>
      </c>
      <c r="E8" s="17"/>
      <c r="F8" s="23" t="s">
        <v>149</v>
      </c>
      <c r="G8" s="33"/>
      <c r="H8" s="23"/>
      <c r="I8" s="23" t="s">
        <v>149</v>
      </c>
      <c r="J8" s="16" t="s">
        <v>149</v>
      </c>
      <c r="K8" s="34"/>
      <c r="L8" s="34"/>
      <c r="M8" s="34"/>
      <c r="N8" s="34"/>
      <c r="O8" s="23" t="s">
        <v>149</v>
      </c>
      <c r="P8" s="34"/>
      <c r="Q8" s="34"/>
      <c r="R8" s="1"/>
      <c r="S8" s="1"/>
      <c r="T8" s="8"/>
      <c r="U8" s="8"/>
      <c r="V8" s="17"/>
      <c r="W8" s="17">
        <v>1</v>
      </c>
      <c r="X8" s="17">
        <v>4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/>
      <c r="AJ8" s="22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39"/>
      <c r="AV8" s="15"/>
      <c r="AW8" s="15"/>
      <c r="AX8" s="15"/>
      <c r="AY8" s="15"/>
      <c r="AZ8" s="15"/>
    </row>
    <row r="9" spans="1:52">
      <c r="A9" s="1">
        <v>6</v>
      </c>
      <c r="B9" s="7" t="s">
        <v>156</v>
      </c>
      <c r="C9" s="7" t="s">
        <v>154</v>
      </c>
      <c r="D9" s="7">
        <v>123486</v>
      </c>
      <c r="E9" s="17"/>
      <c r="F9" s="23" t="s">
        <v>149</v>
      </c>
      <c r="G9" s="23"/>
      <c r="H9" s="23"/>
      <c r="I9" s="23"/>
      <c r="J9" s="16"/>
      <c r="K9" s="23" t="s">
        <v>149</v>
      </c>
      <c r="L9" s="16"/>
      <c r="M9" s="16"/>
      <c r="N9" s="16"/>
      <c r="O9" s="23" t="s">
        <v>149</v>
      </c>
      <c r="P9" s="16"/>
      <c r="Q9" s="16"/>
      <c r="R9" s="1"/>
      <c r="S9" s="1"/>
      <c r="T9" s="8"/>
      <c r="U9" s="8"/>
      <c r="V9" s="17"/>
      <c r="W9" s="17">
        <v>3</v>
      </c>
      <c r="X9" s="17">
        <v>3</v>
      </c>
      <c r="Y9" s="17">
        <v>3</v>
      </c>
      <c r="Z9" s="17"/>
      <c r="AA9" s="17">
        <v>0</v>
      </c>
      <c r="AB9" s="17">
        <v>0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39"/>
      <c r="AV9" s="15"/>
      <c r="AW9" s="15"/>
      <c r="AX9" s="15"/>
      <c r="AY9" s="15"/>
      <c r="AZ9" s="15"/>
    </row>
    <row r="10" spans="1:52" s="9" customFormat="1">
      <c r="A10" s="1">
        <v>7</v>
      </c>
      <c r="B10" s="7" t="s">
        <v>157</v>
      </c>
      <c r="C10" s="7" t="s">
        <v>154</v>
      </c>
      <c r="D10" s="7">
        <v>354841</v>
      </c>
      <c r="E10" s="17"/>
      <c r="F10" s="23" t="s">
        <v>149</v>
      </c>
      <c r="G10" s="32"/>
      <c r="H10" s="33"/>
      <c r="I10" s="23" t="s">
        <v>149</v>
      </c>
      <c r="J10" s="16" t="s">
        <v>149</v>
      </c>
      <c r="K10" s="23"/>
      <c r="L10" s="34"/>
      <c r="M10" s="34"/>
      <c r="N10" s="34"/>
      <c r="O10" s="23" t="s">
        <v>149</v>
      </c>
      <c r="P10" s="34"/>
      <c r="Q10" s="34"/>
      <c r="R10" s="1"/>
      <c r="S10" s="1"/>
      <c r="T10" s="8"/>
      <c r="U10" s="8"/>
      <c r="V10" s="17"/>
      <c r="W10" s="17">
        <v>1</v>
      </c>
      <c r="X10" s="17">
        <v>4</v>
      </c>
      <c r="Y10" s="17"/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39"/>
      <c r="AV10" s="16"/>
      <c r="AW10" s="16"/>
      <c r="AX10" s="16"/>
      <c r="AY10" s="16"/>
      <c r="AZ10" s="16"/>
    </row>
    <row r="11" spans="1:52">
      <c r="A11" s="1">
        <v>8</v>
      </c>
      <c r="B11" s="7" t="s">
        <v>158</v>
      </c>
      <c r="C11" s="7" t="s">
        <v>154</v>
      </c>
      <c r="D11" s="7">
        <v>250721</v>
      </c>
      <c r="E11" s="17"/>
      <c r="F11" s="23" t="s">
        <v>149</v>
      </c>
      <c r="G11" s="23"/>
      <c r="H11" s="23"/>
      <c r="I11" s="23" t="s">
        <v>149</v>
      </c>
      <c r="J11" s="16" t="s">
        <v>149</v>
      </c>
      <c r="K11" s="23"/>
      <c r="L11" s="16"/>
      <c r="M11" s="16"/>
      <c r="N11" s="16"/>
      <c r="O11" s="23" t="s">
        <v>149</v>
      </c>
      <c r="P11" s="16"/>
      <c r="Q11" s="16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s="9" customFormat="1">
      <c r="A12" s="1">
        <v>9</v>
      </c>
      <c r="B12" s="7" t="s">
        <v>159</v>
      </c>
      <c r="C12" s="7" t="s">
        <v>154</v>
      </c>
      <c r="D12" s="7">
        <v>269483</v>
      </c>
      <c r="E12" s="17"/>
      <c r="F12" s="23" t="s">
        <v>149</v>
      </c>
      <c r="G12" s="23"/>
      <c r="H12" s="23"/>
      <c r="I12" s="23"/>
      <c r="J12" s="16"/>
      <c r="K12" s="23" t="s">
        <v>149</v>
      </c>
      <c r="L12" s="16"/>
      <c r="M12" s="16"/>
      <c r="N12" s="16"/>
      <c r="O12" s="23" t="s">
        <v>149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4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>
      <c r="A13" s="1">
        <v>10</v>
      </c>
      <c r="B13" s="7" t="s">
        <v>160</v>
      </c>
      <c r="C13" s="7" t="s">
        <v>154</v>
      </c>
      <c r="D13" s="7">
        <v>340514</v>
      </c>
      <c r="E13" s="17"/>
      <c r="F13" s="23" t="s">
        <v>149</v>
      </c>
      <c r="G13" s="23"/>
      <c r="H13" s="23"/>
      <c r="I13" s="23"/>
      <c r="J13" s="16"/>
      <c r="K13" s="23" t="s">
        <v>149</v>
      </c>
      <c r="L13" s="16"/>
      <c r="M13" s="16"/>
      <c r="N13" s="16"/>
      <c r="O13" s="23" t="s">
        <v>149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s="9" customFormat="1">
      <c r="A14" s="1">
        <v>11</v>
      </c>
      <c r="B14" s="7" t="s">
        <v>161</v>
      </c>
      <c r="C14" s="7" t="s">
        <v>154</v>
      </c>
      <c r="D14" s="7">
        <v>341036</v>
      </c>
      <c r="E14" s="17"/>
      <c r="F14" s="23" t="s">
        <v>149</v>
      </c>
      <c r="G14" s="23"/>
      <c r="H14" s="23"/>
      <c r="I14" s="23"/>
      <c r="J14" s="16"/>
      <c r="K14" s="23" t="s">
        <v>149</v>
      </c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0</v>
      </c>
      <c r="X14" s="17">
        <v>0</v>
      </c>
      <c r="Y14" s="17">
        <v>0</v>
      </c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>
      <c r="A15" s="1">
        <v>12</v>
      </c>
      <c r="B15" s="7" t="s">
        <v>162</v>
      </c>
      <c r="C15" s="7" t="s">
        <v>154</v>
      </c>
      <c r="D15" s="7">
        <v>370522</v>
      </c>
      <c r="E15" s="17"/>
      <c r="F15" s="23" t="s">
        <v>149</v>
      </c>
      <c r="G15" s="23"/>
      <c r="H15" s="23"/>
      <c r="I15" s="23"/>
      <c r="J15" s="16"/>
      <c r="K15" s="23" t="s">
        <v>149</v>
      </c>
      <c r="L15" s="16"/>
      <c r="M15" s="16"/>
      <c r="N15" s="16"/>
      <c r="O15" s="23" t="s">
        <v>149</v>
      </c>
      <c r="P15" s="16"/>
      <c r="Q15" s="16"/>
      <c r="R15" s="1"/>
      <c r="S15" s="1"/>
      <c r="T15" s="8"/>
      <c r="U15" s="8"/>
      <c r="V15" s="17"/>
      <c r="W15" s="17">
        <v>1</v>
      </c>
      <c r="X15" s="17">
        <v>4</v>
      </c>
      <c r="Y15" s="17"/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163</v>
      </c>
      <c r="C16" s="7" t="s">
        <v>154</v>
      </c>
      <c r="D16" s="7">
        <v>370668</v>
      </c>
      <c r="E16" s="17"/>
      <c r="F16" s="23" t="s">
        <v>149</v>
      </c>
      <c r="G16" s="33"/>
      <c r="H16" s="33"/>
      <c r="I16" s="23"/>
      <c r="J16" s="34"/>
      <c r="K16" s="23" t="s">
        <v>149</v>
      </c>
      <c r="L16" s="34"/>
      <c r="M16" s="34"/>
      <c r="N16" s="34"/>
      <c r="O16" s="23" t="s">
        <v>149</v>
      </c>
      <c r="P16" s="34"/>
      <c r="Q16" s="34"/>
      <c r="R16" s="1"/>
      <c r="S16" s="1"/>
      <c r="T16" s="8"/>
      <c r="U16" s="8"/>
      <c r="V16" s="17"/>
      <c r="W16" s="17">
        <v>0</v>
      </c>
      <c r="X16" s="17">
        <v>4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164</v>
      </c>
      <c r="C17" s="7" t="s">
        <v>154</v>
      </c>
      <c r="D17" s="7">
        <v>315796</v>
      </c>
      <c r="E17" s="17"/>
      <c r="F17" s="23" t="s">
        <v>149</v>
      </c>
      <c r="G17" s="33"/>
      <c r="H17" s="33"/>
      <c r="I17" s="34"/>
      <c r="J17" s="34"/>
      <c r="K17" s="23" t="s">
        <v>149</v>
      </c>
      <c r="L17" s="34"/>
      <c r="M17" s="34"/>
      <c r="N17" s="34"/>
      <c r="O17" s="23" t="s">
        <v>149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4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165</v>
      </c>
      <c r="C18" s="7" t="s">
        <v>154</v>
      </c>
      <c r="D18" s="7">
        <v>384233</v>
      </c>
      <c r="E18" s="17"/>
      <c r="F18" s="23" t="s">
        <v>149</v>
      </c>
      <c r="G18" s="23"/>
      <c r="H18" s="23"/>
      <c r="I18" s="23"/>
      <c r="J18" s="16"/>
      <c r="K18" s="23" t="s">
        <v>149</v>
      </c>
      <c r="L18" s="16"/>
      <c r="M18" s="16"/>
      <c r="N18" s="16"/>
      <c r="O18" s="23"/>
      <c r="P18" s="16"/>
      <c r="Q18" s="16"/>
      <c r="R18" s="1"/>
      <c r="S18" s="1"/>
      <c r="T18" s="8"/>
      <c r="U18" s="8"/>
      <c r="V18" s="17"/>
      <c r="W18" s="17">
        <v>0</v>
      </c>
      <c r="X18" s="17">
        <v>0</v>
      </c>
      <c r="Y18" s="17">
        <v>0</v>
      </c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7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166</v>
      </c>
      <c r="C19" s="7" t="s">
        <v>154</v>
      </c>
      <c r="D19" s="7">
        <v>384723</v>
      </c>
      <c r="E19" s="17"/>
      <c r="F19" s="23" t="s">
        <v>149</v>
      </c>
      <c r="G19" s="23"/>
      <c r="H19" s="23"/>
      <c r="I19" s="23"/>
      <c r="J19" s="16"/>
      <c r="K19" s="23" t="s">
        <v>149</v>
      </c>
      <c r="L19" s="16"/>
      <c r="M19" s="16"/>
      <c r="N19" s="16"/>
      <c r="O19" s="23" t="s">
        <v>149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2</v>
      </c>
      <c r="Y19" s="17">
        <v>3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2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167</v>
      </c>
      <c r="C20" s="7" t="s">
        <v>154</v>
      </c>
      <c r="D20" s="7">
        <v>349720</v>
      </c>
      <c r="E20" s="17"/>
      <c r="F20" s="23" t="s">
        <v>149</v>
      </c>
      <c r="G20" s="23"/>
      <c r="H20" s="23"/>
      <c r="I20" s="23"/>
      <c r="J20" s="16"/>
      <c r="K20" s="23" t="s">
        <v>149</v>
      </c>
      <c r="L20" s="16"/>
      <c r="M20" s="16"/>
      <c r="N20" s="16"/>
      <c r="O20" s="23" t="s">
        <v>149</v>
      </c>
      <c r="P20" s="16"/>
      <c r="Q20" s="16"/>
      <c r="R20" s="1"/>
      <c r="S20" s="1"/>
      <c r="T20" s="8"/>
      <c r="U20" s="8"/>
      <c r="V20" s="17"/>
      <c r="W20" s="17">
        <v>1</v>
      </c>
      <c r="X20" s="17">
        <v>4</v>
      </c>
      <c r="Y20" s="17"/>
      <c r="Z20" s="17"/>
      <c r="AA20" s="17">
        <v>0</v>
      </c>
      <c r="AB20" s="17">
        <v>1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168</v>
      </c>
      <c r="C21" s="7" t="s">
        <v>154</v>
      </c>
      <c r="D21" s="7">
        <v>399960</v>
      </c>
      <c r="E21" s="17"/>
      <c r="F21" s="23" t="s">
        <v>149</v>
      </c>
      <c r="G21" s="23"/>
      <c r="H21" s="23"/>
      <c r="I21" s="23"/>
      <c r="J21" s="16"/>
      <c r="K21" s="23" t="s">
        <v>149</v>
      </c>
      <c r="L21" s="23"/>
      <c r="M21" s="23"/>
      <c r="N21" s="16"/>
      <c r="O21" s="23" t="s">
        <v>149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4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 t="s">
        <v>169</v>
      </c>
      <c r="C22" s="7" t="s">
        <v>154</v>
      </c>
      <c r="D22" s="7">
        <v>400072</v>
      </c>
      <c r="E22" s="17"/>
      <c r="F22" s="23" t="s">
        <v>149</v>
      </c>
      <c r="G22" s="23"/>
      <c r="H22" s="23"/>
      <c r="I22" s="23"/>
      <c r="J22" s="16"/>
      <c r="K22" s="23" t="s">
        <v>149</v>
      </c>
      <c r="L22" s="23"/>
      <c r="M22" s="23"/>
      <c r="N22" s="23"/>
      <c r="O22" s="23" t="s">
        <v>149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4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 t="s">
        <v>170</v>
      </c>
      <c r="C23" s="7" t="s">
        <v>154</v>
      </c>
      <c r="D23" s="7">
        <v>400265</v>
      </c>
      <c r="E23" s="17"/>
      <c r="F23" s="23" t="s">
        <v>149</v>
      </c>
      <c r="G23" s="23"/>
      <c r="H23" s="23"/>
      <c r="I23" s="23"/>
      <c r="J23" s="16"/>
      <c r="K23" s="23" t="s">
        <v>149</v>
      </c>
      <c r="L23" s="23"/>
      <c r="M23" s="23"/>
      <c r="N23" s="23"/>
      <c r="O23" s="23" t="s">
        <v>149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4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 t="s">
        <v>171</v>
      </c>
      <c r="C24" s="7" t="s">
        <v>154</v>
      </c>
      <c r="D24" s="7">
        <v>357890</v>
      </c>
      <c r="E24" s="17"/>
      <c r="F24" s="23" t="s">
        <v>149</v>
      </c>
      <c r="G24" s="23"/>
      <c r="H24" s="23"/>
      <c r="I24" s="23"/>
      <c r="J24" s="16"/>
      <c r="K24" s="16"/>
      <c r="L24" s="23" t="s">
        <v>149</v>
      </c>
      <c r="M24" s="23" t="s">
        <v>149</v>
      </c>
      <c r="N24" s="23" t="s">
        <v>149</v>
      </c>
      <c r="O24" s="23" t="s">
        <v>149</v>
      </c>
      <c r="P24" s="16"/>
      <c r="Q24" s="16"/>
      <c r="R24" s="1"/>
      <c r="S24" s="1"/>
      <c r="T24" s="8"/>
      <c r="U24" s="8"/>
      <c r="V24" s="17"/>
      <c r="W24" s="17">
        <v>1</v>
      </c>
      <c r="X24" s="18">
        <v>3</v>
      </c>
      <c r="Y24" s="18">
        <v>4</v>
      </c>
      <c r="Z24" s="17"/>
      <c r="AA24" s="17">
        <v>0</v>
      </c>
      <c r="AB24" s="17">
        <v>1</v>
      </c>
      <c r="AC24" s="17"/>
      <c r="AD24" s="17"/>
      <c r="AE24" s="17"/>
      <c r="AF24" s="17"/>
      <c r="AG24" s="17">
        <v>0</v>
      </c>
      <c r="AH24" s="22"/>
      <c r="AI24" s="35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 t="s">
        <v>172</v>
      </c>
      <c r="C25" s="7" t="s">
        <v>154</v>
      </c>
      <c r="D25" s="7">
        <v>418860</v>
      </c>
      <c r="E25" s="17"/>
      <c r="F25" s="23" t="s">
        <v>149</v>
      </c>
      <c r="G25" s="23"/>
      <c r="H25" s="23"/>
      <c r="I25" s="23"/>
      <c r="J25" s="16"/>
      <c r="K25" s="16"/>
      <c r="L25" s="23" t="s">
        <v>149</v>
      </c>
      <c r="M25" s="23" t="s">
        <v>149</v>
      </c>
      <c r="N25" s="23" t="s">
        <v>149</v>
      </c>
      <c r="O25" s="23" t="s">
        <v>149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22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/>
      <c r="C26" s="7"/>
      <c r="D26" s="7"/>
      <c r="E26" s="17"/>
      <c r="F26" s="23"/>
      <c r="G26" s="23"/>
      <c r="H26" s="23"/>
      <c r="I26" s="23"/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/>
      <c r="X26" s="18"/>
      <c r="Y26" s="18"/>
      <c r="Z26" s="17"/>
      <c r="AA26" s="17"/>
      <c r="AB26" s="17"/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/>
      <c r="C29" s="7"/>
      <c r="D29" s="7"/>
      <c r="E29" s="17"/>
      <c r="F29" s="23"/>
      <c r="G29" s="33"/>
      <c r="H29" s="33"/>
      <c r="I29" s="34"/>
      <c r="J29" s="34"/>
      <c r="K29" s="34"/>
      <c r="L29" s="33"/>
      <c r="M29" s="34"/>
      <c r="N29" s="33"/>
      <c r="O29" s="33"/>
      <c r="P29" s="34"/>
      <c r="Q29" s="34"/>
      <c r="R29" s="1"/>
      <c r="S29" s="1"/>
      <c r="T29" s="8"/>
      <c r="U29" s="8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8"/>
      <c r="AI35" s="17"/>
      <c r="AJ35" s="18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8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2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 t="str">
        <f t="shared" ref="R38:R52" si="0">IF(B38="","",1)</f>
        <v/>
      </c>
      <c r="S38" s="8" t="str">
        <f>IF(B38="","",28-(V38+#REF!+#REF!+Z38+#REF!+#REF!+#REF!))</f>
        <v/>
      </c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 t="s">
        <v>173</v>
      </c>
      <c r="C39" s="7" t="s">
        <v>173</v>
      </c>
      <c r="D39" s="7" t="s">
        <v>173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si="0"/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8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 t="s">
        <v>173</v>
      </c>
      <c r="C40" s="7" t="s">
        <v>173</v>
      </c>
      <c r="D40" s="7" t="s">
        <v>173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 t="s">
        <v>173</v>
      </c>
      <c r="C41" s="7" t="s">
        <v>173</v>
      </c>
      <c r="D41" s="7" t="s">
        <v>173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35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 t="s">
        <v>173</v>
      </c>
      <c r="C42" s="7" t="s">
        <v>173</v>
      </c>
      <c r="D42" s="7" t="s">
        <v>173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 t="s">
        <v>173</v>
      </c>
      <c r="C43" s="7" t="s">
        <v>173</v>
      </c>
      <c r="D43" s="7" t="s">
        <v>173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173</v>
      </c>
      <c r="C44" s="7" t="s">
        <v>173</v>
      </c>
      <c r="D44" s="7" t="s">
        <v>173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173</v>
      </c>
      <c r="C45" s="7" t="s">
        <v>173</v>
      </c>
      <c r="D45" s="7" t="s">
        <v>173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173</v>
      </c>
      <c r="C46" s="7" t="s">
        <v>173</v>
      </c>
      <c r="D46" s="7" t="s">
        <v>173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173</v>
      </c>
      <c r="C47" s="7" t="s">
        <v>173</v>
      </c>
      <c r="D47" s="7" t="s">
        <v>173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173</v>
      </c>
      <c r="C48" s="7" t="s">
        <v>173</v>
      </c>
      <c r="D48" s="7" t="s">
        <v>173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173</v>
      </c>
      <c r="C49" s="7" t="s">
        <v>173</v>
      </c>
      <c r="D49" s="7" t="s">
        <v>173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173</v>
      </c>
      <c r="C50" s="7" t="s">
        <v>173</v>
      </c>
      <c r="D50" s="7" t="s">
        <v>173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173</v>
      </c>
      <c r="C51" s="7" t="s">
        <v>173</v>
      </c>
      <c r="D51" s="7" t="s">
        <v>173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173</v>
      </c>
      <c r="C52" s="7" t="s">
        <v>173</v>
      </c>
      <c r="D52" s="7" t="s">
        <v>173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ht="90.75" customHeight="1">
      <c r="E53" s="1"/>
      <c r="F53" s="8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10"/>
      <c r="S53" s="11"/>
      <c r="T53" s="11"/>
      <c r="U53" s="1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</sheetData>
  <autoFilter ref="A3:AZ53" xr:uid="{10753C3B-7DF4-4CB3-B2FD-E7EC5D97F975}"/>
  <mergeCells count="30"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  <mergeCell ref="A1:A3"/>
    <mergeCell ref="B1:B3"/>
    <mergeCell ref="C1:C3"/>
    <mergeCell ref="D1:D3"/>
    <mergeCell ref="E1:E3"/>
    <mergeCell ref="R1:AG1"/>
    <mergeCell ref="L2:L3"/>
    <mergeCell ref="M2:M3"/>
    <mergeCell ref="N2:N3"/>
    <mergeCell ref="H2:H3"/>
    <mergeCell ref="I2:I3"/>
    <mergeCell ref="J2:J3"/>
    <mergeCell ref="K2:K3"/>
    <mergeCell ref="AD2:AG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174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2024-01-25T07:21:37Z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