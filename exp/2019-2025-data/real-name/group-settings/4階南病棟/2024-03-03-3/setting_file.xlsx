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02580519-9904-451B-8597-E95A0D7BF1DD}" xr6:coauthVersionLast="47" xr6:coauthVersionMax="47" xr10:uidLastSave="{00000000-0000-0000-0000-000000000000}"/>
  <bookViews>
    <workbookView xWindow="-108" yWindow="-108" windowWidth="23256" windowHeight="12456" tabRatio="847" activeTab="2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④看護師別シフト数!$A$3:$AZ$53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1" i="13" l="1"/>
  <c r="R43" i="13"/>
  <c r="S51" i="13"/>
  <c r="S43" i="13"/>
  <c r="R40" i="13"/>
  <c r="R41" i="13"/>
  <c r="S42" i="13"/>
  <c r="R50" i="13"/>
  <c r="S40" i="13"/>
  <c r="S41" i="13"/>
  <c r="R48" i="13"/>
  <c r="R49" i="13"/>
  <c r="S50" i="13"/>
  <c r="R42" i="13"/>
  <c r="R44" i="13"/>
  <c r="S48" i="13"/>
  <c r="S49" i="13"/>
  <c r="R52" i="13"/>
  <c r="S44" i="13"/>
  <c r="R45" i="13"/>
  <c r="S52" i="13"/>
  <c r="R38" i="13"/>
  <c r="S45" i="13"/>
  <c r="R46" i="13"/>
  <c r="S38" i="13"/>
  <c r="R39" i="13"/>
  <c r="S46" i="13"/>
  <c r="R47" i="13"/>
  <c r="S39" i="13"/>
  <c r="S47" i="13"/>
</calcChain>
</file>

<file path=xl/sharedStrings.xml><?xml version="1.0" encoding="utf-8"?>
<sst xmlns="http://schemas.openxmlformats.org/spreadsheetml/2006/main" count="426" uniqueCount="182">
  <si>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</si>
  <si>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</si>
  <si>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</si>
  <si>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</si>
  <si>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</si>
  <si>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</si>
  <si>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</si>
  <si>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</si>
  <si>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</si>
  <si>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</si>
  <si>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</si>
  <si>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</si>
  <si>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</si>
  <si>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</si>
  <si>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</si>
  <si>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</si>
  <si>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</si>
  <si>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</si>
  <si>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</si>
  <si>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</si>
  <si>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</si>
  <si>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</si>
  <si>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</si>
  <si>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</si>
  <si>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</si>
  <si>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</si>
  <si>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</si>
  <si>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</si>
  <si>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</si>
  <si>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</si>
  <si>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</si>
  <si>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</si>
  <si>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</si>
  <si>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</si>
  <si>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</si>
  <si>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</si>
  <si>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</si>
  <si>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</si>
  <si>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</si>
  <si>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</si>
  <si>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</si>
  <si>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</si>
  <si>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</si>
  <si>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</si>
  <si>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</si>
  <si>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</si>
  <si>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</si>
  <si>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</si>
  <si>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</si>
  <si>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</si>
  <si>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</si>
  <si>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</si>
  <si>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</si>
  <si>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</si>
  <si>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</si>
  <si>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</si>
  <si>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</si>
  <si>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</si>
  <si>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</si>
  <si>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</si>
  <si>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</si>
  <si>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</si>
  <si>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</si>
  <si>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</si>
  <si>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</si>
  <si>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</si>
  <si>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</si>
  <si>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</si>
  <si>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</si>
  <si>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</si>
  <si>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</si>
  <si>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</si>
  <si>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</si>
  <si>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</si>
  <si>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</si>
  <si>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</si>
  <si>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</si>
  <si>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</si>
  <si>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</si>
  <si>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</si>
  <si>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</si>
  <si>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</si>
  <si>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</si>
  <si>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</si>
  <si>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</si>
  <si>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</si>
  <si>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</si>
  <si>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</si>
  <si>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</si>
  <si>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</si>
  <si>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</si>
  <si>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N日</t>
    <rPh sb="1" eb="2">
      <t xml:space="preserve">ニチ </t>
    </rPh>
    <phoneticPr fontId="1"/>
  </si>
  <si>
    <t>N,P</t>
    <phoneticPr fontId="1"/>
  </si>
  <si>
    <t>N日</t>
    <rPh sb="1" eb="2">
      <t>ヒ</t>
    </rPh>
    <phoneticPr fontId="1"/>
  </si>
  <si>
    <t>P日</t>
    <rPh sb="1" eb="2">
      <t xml:space="preserve">ニチ </t>
    </rPh>
    <phoneticPr fontId="1"/>
  </si>
  <si>
    <t>P日</t>
    <rPh sb="1" eb="2">
      <t>ヒ</t>
    </rPh>
    <phoneticPr fontId="1"/>
  </si>
  <si>
    <t>PN</t>
    <phoneticPr fontId="1"/>
  </si>
  <si>
    <t>PN</t>
  </si>
  <si>
    <t>PP</t>
  </si>
  <si>
    <t>グループ</t>
    <phoneticPr fontId="1"/>
  </si>
  <si>
    <t>全員</t>
    <rPh sb="0" eb="2">
      <t>ゼンイン</t>
    </rPh>
    <phoneticPr fontId="1"/>
  </si>
  <si>
    <t>熟練１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</si>
  <si>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</si>
  <si>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</si>
  <si>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</si>
  <si>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新人１</t>
    <rPh sb="0" eb="2">
      <t>シンジン</t>
    </rPh>
    <phoneticPr fontId="1"/>
  </si>
  <si>
    <t>新人２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</si>
  <si>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</si>
  <si>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</si>
  <si>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</si>
  <si>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</si>
  <si>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</si>
  <si>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</si>
  <si>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</si>
  <si>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</si>
  <si>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</si>
  <si>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</si>
  <si>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</si>
  <si>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</si>
  <si>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</si>
  <si>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</si>
  <si>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</si>
  <si>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</si>
  <si>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</si>
  <si>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</si>
  <si>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</si>
  <si>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</si>
  <si>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</si>
  <si>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</si>
  <si>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</si>
  <si>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</si>
  <si>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</si>
  <si>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★,☆,P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</si>
  <si>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</si>
  <si>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</si>
  <si>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</si>
  <si>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</si>
  <si>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</si>
  <si>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</si>
  <si>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</si>
  <si>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</si>
  <si>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</si>
  <si>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</si>
  <si>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</si>
  <si>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</si>
  <si>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</si>
  <si>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</si>
  <si>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櫻本　かおり</t>
  </si>
  <si>
    <t>師長</t>
  </si>
  <si>
    <t>●</t>
  </si>
  <si>
    <t>上原　良江</t>
  </si>
  <si>
    <t>副師長</t>
  </si>
  <si>
    <t>齊藤　渚</t>
  </si>
  <si>
    <t>伊藤　祥子</t>
  </si>
  <si>
    <t>看護師</t>
  </si>
  <si>
    <t>松山　和佳</t>
  </si>
  <si>
    <t>藤巻　夕香里</t>
  </si>
  <si>
    <t>佐藤　恵理香</t>
  </si>
  <si>
    <t>甘蔗　華子</t>
  </si>
  <si>
    <t>菅原　梨沙</t>
  </si>
  <si>
    <t>田上　貴士</t>
  </si>
  <si>
    <t>土橋　美佳</t>
  </si>
  <si>
    <t>大畠　綾香</t>
  </si>
  <si>
    <t>伊東　美来</t>
  </si>
  <si>
    <t>萩原　万友佳</t>
  </si>
  <si>
    <t>雨宮　周実</t>
  </si>
  <si>
    <t>渡邉　樹里</t>
  </si>
  <si>
    <t>伊東　未緒</t>
  </si>
  <si>
    <t>中野　佑麻</t>
  </si>
  <si>
    <t>岩波　みさと</t>
  </si>
  <si>
    <t>芳賀　友香</t>
  </si>
  <si>
    <t>高井　彩</t>
  </si>
  <si>
    <t>渡邊　陽子</t>
  </si>
  <si>
    <t/>
  </si>
  <si>
    <t>部署固有の要求</t>
    <rPh sb="0" eb="7">
      <t>ブショコ</t>
    </rPh>
    <phoneticPr fontId="1"/>
  </si>
  <si>
    <t>熟練1</t>
    <rPh sb="0" eb="2">
      <t>ジュクレン</t>
    </rPh>
    <phoneticPr fontId="1"/>
  </si>
  <si>
    <t>JSJSJS</t>
    <phoneticPr fontId="1"/>
  </si>
  <si>
    <t>PPP</t>
    <phoneticPr fontId="1"/>
  </si>
  <si>
    <t>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</si>
  <si>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日日日日N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</si>
  <si>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日日日日P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</si>
  <si>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日日日日JSJS</t>
    <rPh sb="0" eb="1">
      <t>ニチ</t>
    </rPh>
    <rPh sb="1" eb="2">
      <t>ニチ</t>
    </rPh>
    <rPh sb="2" eb="3">
      <t>ニチ</t>
    </rPh>
    <rPh sb="3" eb="4">
      <t>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</si>
</sst>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3" borderId="0" xfId="0" applyFont="1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3" bestFit="1" customWidth="1"/>
    <col min="2" max="16384" width="9" style="13"/>
  </cols>
  <sheetData>
    <row r="1" spans="1:2" ht="30" customHeight="1">
      <c r="A1" s="13" t="s">
        <v>0</v>
      </c>
    </row>
    <row r="2" spans="1:2" ht="30" customHeight="1">
      <c r="A2" s="13">
        <v>1</v>
      </c>
      <c r="B2" s="13" t="s">
        <v>1</v>
      </c>
    </row>
    <row r="3" spans="1:2" ht="30" customHeight="1">
      <c r="A3" s="13">
        <v>2</v>
      </c>
      <c r="B3" s="13" t="s">
        <v>2</v>
      </c>
    </row>
    <row r="4" spans="1:2" ht="30" customHeight="1">
      <c r="A4" s="13">
        <v>3</v>
      </c>
      <c r="B4" s="13" t="s">
        <v>3</v>
      </c>
    </row>
    <row r="5" spans="1:2" ht="30" customHeight="1">
      <c r="A5" s="13">
        <v>4</v>
      </c>
      <c r="B5" s="13" t="s">
        <v>4</v>
      </c>
    </row>
    <row r="6" spans="1:2" ht="30" customHeight="1">
      <c r="A6" s="13">
        <v>5</v>
      </c>
      <c r="B6" s="13" t="s">
        <v>5</v>
      </c>
    </row>
    <row r="7" spans="1:2" ht="30" customHeight="1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>
      <c r="A8" s="29" t="s">
        <v>36</v>
      </c>
      <c r="B8" s="29" t="s">
        <v>37</v>
      </c>
      <c r="C8" s="29" t="s">
        <v>38</v>
      </c>
      <c r="D8" s="29"/>
      <c r="E8" s="29"/>
    </row>
    <row r="9" spans="1: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tabSelected="1" workbookViewId="0">
      <selection activeCell="C13" sqref="C13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44" t="s">
        <v>69</v>
      </c>
      <c r="B1" s="44" t="s">
        <v>70</v>
      </c>
      <c r="C1" s="44" t="s">
        <v>71</v>
      </c>
      <c r="D1" s="43" t="s">
        <v>72</v>
      </c>
      <c r="E1" s="43"/>
      <c r="F1" s="43" t="s">
        <v>73</v>
      </c>
      <c r="G1" s="43"/>
      <c r="H1" s="43"/>
      <c r="I1" s="43" t="s">
        <v>74</v>
      </c>
      <c r="J1" s="43"/>
      <c r="K1" s="43"/>
      <c r="L1" s="43"/>
      <c r="M1" s="43"/>
    </row>
    <row r="2" spans="1:13">
      <c r="A2" s="45"/>
      <c r="B2" s="45"/>
      <c r="C2" s="45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1" t="s">
        <v>79</v>
      </c>
      <c r="K2" s="41" t="s">
        <v>80</v>
      </c>
      <c r="L2" s="41" t="s">
        <v>81</v>
      </c>
      <c r="M2" s="41" t="s">
        <v>82</v>
      </c>
    </row>
    <row r="3" spans="1:13">
      <c r="A3" s="21">
        <v>6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0"/>
      <c r="M3" s="40"/>
    </row>
    <row r="4" spans="1:13">
      <c r="B4" s="15" t="s">
        <v>90</v>
      </c>
      <c r="C4" s="15" t="s">
        <v>91</v>
      </c>
      <c r="D4" s="15" t="s">
        <v>89</v>
      </c>
      <c r="E4" s="15"/>
      <c r="F4" s="15" t="s">
        <v>92</v>
      </c>
      <c r="G4" s="15" t="s">
        <v>86</v>
      </c>
      <c r="H4" s="15" t="s">
        <v>87</v>
      </c>
      <c r="I4" s="15" t="s">
        <v>93</v>
      </c>
      <c r="J4" s="15"/>
      <c r="K4" s="16"/>
      <c r="L4" s="16">
        <v>0</v>
      </c>
      <c r="M4" s="16"/>
    </row>
    <row r="5" spans="1:13">
      <c r="B5" s="15"/>
      <c r="C5" s="15" t="s">
        <v>94</v>
      </c>
      <c r="D5" s="15"/>
      <c r="E5" s="15"/>
      <c r="F5" s="15"/>
      <c r="G5" s="15"/>
      <c r="H5" s="15"/>
      <c r="I5" s="16" t="s">
        <v>95</v>
      </c>
      <c r="J5" s="16"/>
      <c r="K5" s="16"/>
      <c r="L5" s="16">
        <v>0</v>
      </c>
      <c r="M5" s="16"/>
    </row>
    <row r="6" spans="1:13">
      <c r="B6" s="15"/>
      <c r="C6" s="15" t="s">
        <v>96</v>
      </c>
      <c r="D6" s="15"/>
      <c r="E6" s="15"/>
      <c r="F6" s="15"/>
      <c r="G6" s="15"/>
      <c r="H6" s="15"/>
      <c r="I6" s="16" t="s">
        <v>97</v>
      </c>
      <c r="J6" s="16"/>
      <c r="K6" s="16"/>
      <c r="L6" s="16">
        <v>0</v>
      </c>
      <c r="M6" s="16"/>
    </row>
    <row r="7" spans="1:13">
      <c r="B7" s="15"/>
      <c r="C7" s="15" t="s">
        <v>176</v>
      </c>
      <c r="D7" s="15"/>
      <c r="E7" s="15"/>
      <c r="F7" s="15"/>
      <c r="G7" s="15"/>
      <c r="H7" s="15"/>
      <c r="I7" s="15" t="s">
        <v>98</v>
      </c>
      <c r="J7" s="15"/>
      <c r="K7" s="15"/>
      <c r="L7" s="15">
        <v>0</v>
      </c>
      <c r="M7" s="15"/>
    </row>
    <row r="8" spans="1:13">
      <c r="B8" s="15"/>
      <c r="C8" s="15" t="s">
        <v>178</v>
      </c>
      <c r="D8" s="15"/>
      <c r="E8" s="15"/>
      <c r="F8" s="15"/>
      <c r="G8" s="15"/>
      <c r="H8" s="15"/>
      <c r="I8" s="15"/>
      <c r="J8" s="15"/>
      <c r="K8" s="15"/>
      <c r="L8" s="40"/>
      <c r="M8" s="40"/>
    </row>
    <row r="9" spans="1:13">
      <c r="B9" s="15"/>
      <c r="C9" s="15" t="s">
        <v>177</v>
      </c>
      <c r="D9" s="15"/>
      <c r="E9" s="15"/>
      <c r="F9" s="15"/>
      <c r="G9" s="15"/>
      <c r="H9" s="15"/>
      <c r="I9" s="15"/>
      <c r="J9" s="15"/>
      <c r="K9" s="15"/>
      <c r="L9" s="40"/>
      <c r="M9" s="40"/>
    </row>
    <row r="10" spans="1:13">
      <c r="B10" s="15"/>
      <c r="C10" s="15" t="s">
        <v>179</v>
      </c>
      <c r="D10" s="15"/>
      <c r="E10" s="15"/>
      <c r="F10" s="15"/>
      <c r="G10" s="15"/>
      <c r="H10" s="15"/>
      <c r="I10" s="15"/>
      <c r="J10" s="15"/>
      <c r="K10" s="15"/>
      <c r="L10" s="40"/>
      <c r="M10" s="40"/>
    </row>
    <row r="11" spans="1:13">
      <c r="B11" s="15"/>
      <c r="C11" s="15" t="s">
        <v>180</v>
      </c>
      <c r="D11" s="15"/>
      <c r="E11" s="15"/>
      <c r="F11" s="15"/>
      <c r="G11" s="15"/>
      <c r="H11" s="15"/>
      <c r="I11" s="15"/>
      <c r="J11" s="15"/>
      <c r="K11" s="15"/>
      <c r="L11" s="40"/>
      <c r="M11" s="40"/>
    </row>
    <row r="12" spans="1:13">
      <c r="B12" s="15"/>
      <c r="C12" s="15" t="s">
        <v>181</v>
      </c>
      <c r="D12" s="15"/>
      <c r="E12" s="15"/>
      <c r="F12" s="15"/>
      <c r="G12" s="15"/>
      <c r="H12" s="15"/>
      <c r="I12" s="15"/>
      <c r="J12" s="15"/>
      <c r="K12" s="15"/>
      <c r="L12" s="40"/>
      <c r="M12" s="40"/>
    </row>
    <row r="13" spans="1:13">
      <c r="A13" s="5"/>
      <c r="B13" s="9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topLeftCell="C1" zoomScaleNormal="100" workbookViewId="0">
      <selection activeCell="C6" sqref="C6"/>
    </sheetView>
  </sheetViews>
  <sheetFormatPr defaultColWidth="9" defaultRowHeight="18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45" width="4.3984375" style="4" customWidth="1"/>
    <col min="46" max="51" width="5.09765625" style="26" customWidth="1"/>
    <col min="52" max="53" width="5.09765625" style="4" customWidth="1"/>
    <col min="54" max="16384" width="9" style="4"/>
  </cols>
  <sheetData>
    <row r="1" spans="1:53" s="25" customFormat="1" ht="38.25" customHeight="1">
      <c r="A1" s="24" t="s">
        <v>99</v>
      </c>
      <c r="B1" s="46" t="s">
        <v>100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57" t="s">
        <v>101</v>
      </c>
      <c r="W1" s="58"/>
      <c r="X1" s="58"/>
      <c r="Y1" s="58"/>
      <c r="Z1" s="54" t="s">
        <v>102</v>
      </c>
      <c r="AA1" s="55"/>
      <c r="AB1" s="55"/>
      <c r="AC1" s="56"/>
      <c r="AD1" s="47" t="s">
        <v>103</v>
      </c>
      <c r="AE1" s="48"/>
      <c r="AF1" s="48"/>
      <c r="AG1" s="49"/>
      <c r="AH1" s="50" t="s">
        <v>104</v>
      </c>
      <c r="AI1" s="50"/>
      <c r="AJ1" s="50"/>
      <c r="AK1" s="50"/>
      <c r="AL1" s="50" t="s">
        <v>105</v>
      </c>
      <c r="AM1" s="50"/>
      <c r="AN1" s="50"/>
      <c r="AO1" s="50"/>
      <c r="AP1" s="65" t="s">
        <v>106</v>
      </c>
      <c r="AQ1" s="65"/>
      <c r="AR1" s="65"/>
      <c r="AS1" s="65"/>
      <c r="AT1" s="46" t="s">
        <v>107</v>
      </c>
      <c r="AU1" s="46"/>
      <c r="AV1" s="46"/>
      <c r="AW1" s="46"/>
      <c r="AX1" s="46"/>
      <c r="AY1" s="46"/>
      <c r="AZ1" s="46"/>
      <c r="BA1" s="46"/>
    </row>
    <row r="2" spans="1:53" s="26" customFormat="1">
      <c r="A2" s="20" t="s">
        <v>77</v>
      </c>
      <c r="B2" s="51" t="s">
        <v>12</v>
      </c>
      <c r="C2" s="52"/>
      <c r="D2" s="52"/>
      <c r="E2" s="53"/>
      <c r="F2" s="51" t="s">
        <v>108</v>
      </c>
      <c r="G2" s="52"/>
      <c r="H2" s="52"/>
      <c r="I2" s="53"/>
      <c r="J2" s="51" t="s">
        <v>109</v>
      </c>
      <c r="K2" s="52"/>
      <c r="L2" s="52"/>
      <c r="M2" s="53"/>
      <c r="N2" s="51" t="s">
        <v>39</v>
      </c>
      <c r="O2" s="52"/>
      <c r="P2" s="52"/>
      <c r="Q2" s="53"/>
      <c r="R2" s="51" t="s">
        <v>110</v>
      </c>
      <c r="S2" s="52"/>
      <c r="T2" s="52"/>
      <c r="U2" s="53"/>
      <c r="V2" s="51" t="s">
        <v>108</v>
      </c>
      <c r="W2" s="52"/>
      <c r="X2" s="52"/>
      <c r="Y2" s="53"/>
      <c r="Z2" s="51" t="s">
        <v>12</v>
      </c>
      <c r="AA2" s="52"/>
      <c r="AB2" s="52"/>
      <c r="AC2" s="53"/>
      <c r="AD2" s="51" t="s">
        <v>111</v>
      </c>
      <c r="AE2" s="52"/>
      <c r="AF2" s="52"/>
      <c r="AG2" s="53"/>
      <c r="AH2" s="51" t="s">
        <v>111</v>
      </c>
      <c r="AI2" s="52"/>
      <c r="AJ2" s="52"/>
      <c r="AK2" s="53"/>
      <c r="AL2" s="51" t="s">
        <v>111</v>
      </c>
      <c r="AM2" s="52"/>
      <c r="AN2" s="52"/>
      <c r="AO2" s="53"/>
      <c r="AP2" s="51" t="s">
        <v>111</v>
      </c>
      <c r="AQ2" s="52"/>
      <c r="AR2" s="52"/>
      <c r="AS2" s="53"/>
      <c r="AT2" s="51" t="s">
        <v>112</v>
      </c>
      <c r="AU2" s="52"/>
      <c r="AV2" s="52"/>
      <c r="AW2" s="53"/>
      <c r="AX2" s="51" t="s">
        <v>112</v>
      </c>
      <c r="AY2" s="52"/>
      <c r="AZ2" s="52"/>
      <c r="BA2" s="53"/>
    </row>
    <row r="3" spans="1:53" s="26" customFormat="1">
      <c r="A3" s="20" t="s">
        <v>113</v>
      </c>
      <c r="B3" s="51" t="s">
        <v>114</v>
      </c>
      <c r="C3" s="52"/>
      <c r="D3" s="52"/>
      <c r="E3" s="53"/>
      <c r="F3" s="51" t="s">
        <v>114</v>
      </c>
      <c r="G3" s="52"/>
      <c r="H3" s="52"/>
      <c r="I3" s="53"/>
      <c r="J3" s="51" t="s">
        <v>114</v>
      </c>
      <c r="K3" s="52"/>
      <c r="L3" s="52"/>
      <c r="M3" s="53"/>
      <c r="N3" s="51" t="s">
        <v>114</v>
      </c>
      <c r="O3" s="52"/>
      <c r="P3" s="52"/>
      <c r="Q3" s="53"/>
      <c r="R3" s="51" t="s">
        <v>114</v>
      </c>
      <c r="S3" s="52"/>
      <c r="T3" s="52"/>
      <c r="U3" s="53"/>
      <c r="V3" s="51" t="s">
        <v>114</v>
      </c>
      <c r="W3" s="52"/>
      <c r="X3" s="52"/>
      <c r="Y3" s="53"/>
      <c r="Z3" s="51" t="s">
        <v>114</v>
      </c>
      <c r="AA3" s="52"/>
      <c r="AB3" s="52"/>
      <c r="AC3" s="53"/>
      <c r="AD3" s="51" t="s">
        <v>114</v>
      </c>
      <c r="AE3" s="52"/>
      <c r="AF3" s="52"/>
      <c r="AG3" s="53"/>
      <c r="AH3" s="51" t="s">
        <v>114</v>
      </c>
      <c r="AI3" s="52"/>
      <c r="AJ3" s="52"/>
      <c r="AK3" s="53"/>
      <c r="AL3" s="51" t="s">
        <v>114</v>
      </c>
      <c r="AM3" s="52"/>
      <c r="AN3" s="52"/>
      <c r="AO3" s="53"/>
      <c r="AP3" s="51" t="s">
        <v>114</v>
      </c>
      <c r="AQ3" s="52"/>
      <c r="AR3" s="52"/>
      <c r="AS3" s="53"/>
      <c r="AT3" s="51" t="s">
        <v>114</v>
      </c>
      <c r="AU3" s="52"/>
      <c r="AV3" s="52"/>
      <c r="AW3" s="53"/>
      <c r="AX3" s="51" t="s">
        <v>115</v>
      </c>
      <c r="AY3" s="52"/>
      <c r="AZ3" s="52"/>
      <c r="BA3" s="53"/>
    </row>
    <row r="4" spans="1:53" s="26" customFormat="1" ht="36">
      <c r="A4" s="20" t="s">
        <v>116</v>
      </c>
      <c r="B4" s="24" t="s">
        <v>117</v>
      </c>
      <c r="C4" s="24" t="s">
        <v>118</v>
      </c>
      <c r="D4" s="24" t="s">
        <v>119</v>
      </c>
      <c r="E4" s="24" t="s">
        <v>120</v>
      </c>
      <c r="F4" s="24" t="s">
        <v>117</v>
      </c>
      <c r="G4" s="24" t="s">
        <v>118</v>
      </c>
      <c r="H4" s="24" t="s">
        <v>119</v>
      </c>
      <c r="I4" s="24" t="s">
        <v>120</v>
      </c>
      <c r="J4" s="24" t="s">
        <v>117</v>
      </c>
      <c r="K4" s="24" t="s">
        <v>118</v>
      </c>
      <c r="L4" s="24" t="s">
        <v>119</v>
      </c>
      <c r="M4" s="24" t="s">
        <v>120</v>
      </c>
      <c r="N4" s="24" t="s">
        <v>117</v>
      </c>
      <c r="O4" s="24" t="s">
        <v>118</v>
      </c>
      <c r="P4" s="24" t="s">
        <v>119</v>
      </c>
      <c r="Q4" s="24" t="s">
        <v>120</v>
      </c>
      <c r="R4" s="24" t="s">
        <v>117</v>
      </c>
      <c r="S4" s="24" t="s">
        <v>118</v>
      </c>
      <c r="T4" s="24" t="s">
        <v>119</v>
      </c>
      <c r="U4" s="24" t="s">
        <v>120</v>
      </c>
      <c r="V4" s="24" t="s">
        <v>117</v>
      </c>
      <c r="W4" s="24" t="s">
        <v>118</v>
      </c>
      <c r="X4" s="24" t="s">
        <v>119</v>
      </c>
      <c r="Y4" s="24" t="s">
        <v>120</v>
      </c>
      <c r="Z4" s="24" t="s">
        <v>117</v>
      </c>
      <c r="AA4" s="24" t="s">
        <v>118</v>
      </c>
      <c r="AB4" s="24" t="s">
        <v>119</v>
      </c>
      <c r="AC4" s="24" t="s">
        <v>120</v>
      </c>
      <c r="AD4" s="24" t="s">
        <v>117</v>
      </c>
      <c r="AE4" s="24" t="s">
        <v>118</v>
      </c>
      <c r="AF4" s="24" t="s">
        <v>119</v>
      </c>
      <c r="AG4" s="24" t="s">
        <v>120</v>
      </c>
      <c r="AH4" s="24" t="s">
        <v>117</v>
      </c>
      <c r="AI4" s="24" t="s">
        <v>118</v>
      </c>
      <c r="AJ4" s="24" t="s">
        <v>119</v>
      </c>
      <c r="AK4" s="24" t="s">
        <v>120</v>
      </c>
      <c r="AL4" s="24" t="s">
        <v>117</v>
      </c>
      <c r="AM4" s="24" t="s">
        <v>118</v>
      </c>
      <c r="AN4" s="24" t="s">
        <v>119</v>
      </c>
      <c r="AO4" s="24" t="s">
        <v>120</v>
      </c>
      <c r="AP4" s="24" t="s">
        <v>117</v>
      </c>
      <c r="AQ4" s="24" t="s">
        <v>118</v>
      </c>
      <c r="AR4" s="24" t="s">
        <v>119</v>
      </c>
      <c r="AS4" s="24" t="s">
        <v>120</v>
      </c>
      <c r="AT4" s="24" t="s">
        <v>117</v>
      </c>
      <c r="AU4" s="24" t="s">
        <v>118</v>
      </c>
      <c r="AV4" s="24" t="s">
        <v>119</v>
      </c>
      <c r="AW4" s="24" t="s">
        <v>120</v>
      </c>
      <c r="AX4" s="24" t="s">
        <v>117</v>
      </c>
      <c r="AY4" s="24" t="s">
        <v>118</v>
      </c>
      <c r="AZ4" s="24" t="s">
        <v>119</v>
      </c>
      <c r="BA4" s="24" t="s">
        <v>120</v>
      </c>
    </row>
    <row r="5" spans="1:53">
      <c r="A5" s="20" t="s">
        <v>121</v>
      </c>
      <c r="B5" s="6">
        <v>4</v>
      </c>
      <c r="C5" s="6">
        <v>4</v>
      </c>
      <c r="D5" s="6">
        <v>13</v>
      </c>
      <c r="E5" s="6"/>
      <c r="F5" s="6">
        <v>3</v>
      </c>
      <c r="G5" s="6"/>
      <c r="H5" s="6"/>
      <c r="I5" s="6">
        <v>3</v>
      </c>
      <c r="J5" s="6"/>
      <c r="K5" s="6"/>
      <c r="L5" s="6"/>
      <c r="M5" s="6">
        <v>0</v>
      </c>
      <c r="N5" s="6"/>
      <c r="O5" s="6"/>
      <c r="P5" s="6"/>
      <c r="Q5" s="6">
        <v>1</v>
      </c>
      <c r="R5" s="6">
        <v>3</v>
      </c>
      <c r="S5" s="6"/>
      <c r="T5" s="6"/>
      <c r="U5" s="6"/>
      <c r="V5" s="6">
        <v>0</v>
      </c>
      <c r="W5" s="6">
        <v>0</v>
      </c>
      <c r="X5" s="6">
        <v>3</v>
      </c>
      <c r="Y5" s="6"/>
      <c r="Z5" s="6"/>
      <c r="AA5" s="6">
        <v>1</v>
      </c>
      <c r="AB5" s="6">
        <v>1</v>
      </c>
      <c r="AC5" s="6"/>
      <c r="AD5" s="6">
        <v>0</v>
      </c>
      <c r="AE5" s="6">
        <v>1</v>
      </c>
      <c r="AF5" s="6">
        <v>3</v>
      </c>
      <c r="AG5" s="6"/>
      <c r="AH5" s="6">
        <v>0</v>
      </c>
      <c r="AI5" s="6">
        <v>0</v>
      </c>
      <c r="AJ5" s="6">
        <v>1</v>
      </c>
      <c r="AK5" s="6"/>
      <c r="AL5" s="6"/>
      <c r="AM5" s="6"/>
      <c r="AN5" s="6"/>
      <c r="AO5" s="6"/>
      <c r="AP5" s="6"/>
      <c r="AQ5" s="6"/>
      <c r="AR5" s="6"/>
      <c r="AS5" s="6"/>
      <c r="AT5" s="23"/>
      <c r="AU5" s="23"/>
      <c r="AV5" s="23"/>
      <c r="AW5" s="23"/>
      <c r="AX5" s="23"/>
      <c r="AY5" s="23"/>
      <c r="AZ5" s="23"/>
      <c r="BA5" s="23"/>
    </row>
    <row r="6" spans="1:53">
      <c r="A6" s="20" t="s">
        <v>122</v>
      </c>
      <c r="B6" s="6">
        <v>1</v>
      </c>
      <c r="C6" s="6">
        <v>2</v>
      </c>
      <c r="D6" s="6">
        <v>3</v>
      </c>
      <c r="E6" s="6"/>
      <c r="F6" s="6">
        <v>3</v>
      </c>
      <c r="G6" s="6"/>
      <c r="H6" s="6"/>
      <c r="I6" s="6">
        <v>3</v>
      </c>
      <c r="J6" s="6"/>
      <c r="K6" s="6"/>
      <c r="L6" s="6"/>
      <c r="M6" s="6">
        <v>0</v>
      </c>
      <c r="N6" s="6"/>
      <c r="O6" s="6"/>
      <c r="P6" s="6"/>
      <c r="Q6" s="6">
        <v>0</v>
      </c>
      <c r="R6" s="6">
        <v>3</v>
      </c>
      <c r="S6" s="6"/>
      <c r="T6" s="6"/>
      <c r="U6" s="6"/>
      <c r="V6" s="6">
        <v>0</v>
      </c>
      <c r="W6" s="6">
        <v>0</v>
      </c>
      <c r="X6" s="6">
        <v>3</v>
      </c>
      <c r="Y6" s="6"/>
      <c r="Z6" s="6"/>
      <c r="AA6" s="6">
        <v>0</v>
      </c>
      <c r="AB6" s="6">
        <v>0</v>
      </c>
      <c r="AC6" s="6"/>
      <c r="AD6" s="6">
        <v>0</v>
      </c>
      <c r="AE6" s="6">
        <v>1</v>
      </c>
      <c r="AF6" s="6">
        <v>3</v>
      </c>
      <c r="AG6" s="6"/>
      <c r="AH6" s="6">
        <v>0</v>
      </c>
      <c r="AI6" s="6">
        <v>0</v>
      </c>
      <c r="AJ6" s="6">
        <v>1</v>
      </c>
      <c r="AK6" s="6"/>
      <c r="AL6" s="6"/>
      <c r="AM6" s="6"/>
      <c r="AN6" s="6"/>
      <c r="AO6" s="6"/>
      <c r="AP6" s="6"/>
      <c r="AQ6" s="6"/>
      <c r="AR6" s="6"/>
      <c r="AS6" s="6"/>
      <c r="AT6" s="23"/>
      <c r="AU6" s="23"/>
      <c r="AV6" s="23"/>
      <c r="AW6" s="23"/>
      <c r="AX6" s="23"/>
      <c r="AY6" s="23"/>
      <c r="AZ6" s="23"/>
      <c r="BA6" s="23"/>
    </row>
    <row r="7" spans="1:53">
      <c r="A7" s="20" t="s">
        <v>50</v>
      </c>
      <c r="B7" s="6">
        <v>1</v>
      </c>
      <c r="C7" s="6">
        <v>2</v>
      </c>
      <c r="D7" s="6">
        <v>3</v>
      </c>
      <c r="E7" s="6"/>
      <c r="F7" s="6">
        <v>3</v>
      </c>
      <c r="G7" s="6"/>
      <c r="H7" s="6"/>
      <c r="I7" s="6">
        <v>3</v>
      </c>
      <c r="J7" s="6"/>
      <c r="K7" s="6"/>
      <c r="L7" s="6"/>
      <c r="M7" s="6">
        <v>0</v>
      </c>
      <c r="N7" s="6"/>
      <c r="O7" s="6"/>
      <c r="P7" s="6"/>
      <c r="Q7" s="6">
        <v>0</v>
      </c>
      <c r="R7" s="6">
        <v>3</v>
      </c>
      <c r="S7" s="6"/>
      <c r="T7" s="6"/>
      <c r="U7" s="6"/>
      <c r="V7" s="6">
        <v>0</v>
      </c>
      <c r="W7" s="6">
        <v>0</v>
      </c>
      <c r="X7" s="6">
        <v>3</v>
      </c>
      <c r="Y7" s="6"/>
      <c r="Z7" s="6"/>
      <c r="AA7" s="6">
        <v>0</v>
      </c>
      <c r="AB7" s="6">
        <v>0</v>
      </c>
      <c r="AC7" s="6"/>
      <c r="AD7" s="6">
        <v>0</v>
      </c>
      <c r="AE7" s="6">
        <v>1</v>
      </c>
      <c r="AF7" s="6">
        <v>3</v>
      </c>
      <c r="AG7" s="6"/>
      <c r="AH7" s="6">
        <v>0</v>
      </c>
      <c r="AI7" s="6">
        <v>0</v>
      </c>
      <c r="AJ7" s="6">
        <v>1</v>
      </c>
      <c r="AK7" s="6"/>
      <c r="AL7" s="6"/>
      <c r="AM7" s="6"/>
      <c r="AN7" s="6"/>
      <c r="AO7" s="6"/>
      <c r="AP7" s="6"/>
      <c r="AQ7" s="6"/>
      <c r="AR7" s="6"/>
      <c r="AS7" s="6"/>
      <c r="AT7" s="23"/>
      <c r="AU7" s="23"/>
      <c r="AV7" s="23"/>
      <c r="AW7" s="23"/>
      <c r="AX7" s="23"/>
      <c r="AY7" s="23"/>
      <c r="AZ7" s="23"/>
      <c r="BA7" s="23"/>
    </row>
    <row r="8" spans="1:53" ht="137.25" customHeight="1">
      <c r="A8" s="20" t="s">
        <v>10</v>
      </c>
      <c r="B8" s="62"/>
      <c r="C8" s="63"/>
      <c r="D8" s="63"/>
      <c r="E8" s="64"/>
      <c r="F8" s="62"/>
      <c r="G8" s="63"/>
      <c r="H8" s="63"/>
      <c r="I8" s="64"/>
      <c r="J8" s="62"/>
      <c r="K8" s="63"/>
      <c r="L8" s="63"/>
      <c r="M8" s="64"/>
      <c r="N8" s="62"/>
      <c r="O8" s="63"/>
      <c r="P8" s="63"/>
      <c r="Q8" s="64"/>
      <c r="R8" s="62"/>
      <c r="S8" s="63"/>
      <c r="T8" s="63"/>
      <c r="U8" s="64"/>
      <c r="V8" s="59"/>
      <c r="W8" s="60"/>
      <c r="X8" s="60"/>
      <c r="Y8" s="61"/>
      <c r="Z8" s="62"/>
      <c r="AA8" s="63"/>
      <c r="AB8" s="63"/>
      <c r="AC8" s="64"/>
      <c r="AD8" s="59"/>
      <c r="AE8" s="60"/>
      <c r="AF8" s="60"/>
      <c r="AG8" s="61"/>
      <c r="AH8" s="59"/>
      <c r="AI8" s="60"/>
      <c r="AJ8" s="60"/>
      <c r="AK8" s="61"/>
      <c r="AL8" s="59"/>
      <c r="AM8" s="60"/>
      <c r="AN8" s="60"/>
      <c r="AO8" s="61"/>
      <c r="AP8" s="59"/>
      <c r="AQ8" s="60"/>
      <c r="AR8" s="60"/>
      <c r="AS8" s="61"/>
      <c r="AT8" s="62"/>
      <c r="AU8" s="63"/>
      <c r="AV8" s="63"/>
      <c r="AW8" s="63"/>
      <c r="AX8" s="63"/>
      <c r="AY8" s="63"/>
      <c r="AZ8" s="63"/>
      <c r="BA8" s="64"/>
    </row>
  </sheetData>
  <mergeCells count="46"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B2:E2"/>
    <mergeCell ref="B3:E3"/>
    <mergeCell ref="B8:E8"/>
    <mergeCell ref="F2:I2"/>
    <mergeCell ref="F3:I3"/>
    <mergeCell ref="F8:I8"/>
    <mergeCell ref="V1:Y1"/>
    <mergeCell ref="AP8:AS8"/>
    <mergeCell ref="AT8:BA8"/>
    <mergeCell ref="AL8:AO8"/>
    <mergeCell ref="AP3:AS3"/>
    <mergeCell ref="AT3:AW3"/>
    <mergeCell ref="AL1:AO1"/>
    <mergeCell ref="AP1:AS1"/>
    <mergeCell ref="AT1:BA1"/>
    <mergeCell ref="B1:U1"/>
    <mergeCell ref="AD1:AG1"/>
    <mergeCell ref="AH1:AK1"/>
    <mergeCell ref="AX3:BA3"/>
    <mergeCell ref="Z3:AC3"/>
    <mergeCell ref="AD3:AG3"/>
    <mergeCell ref="AH3:AK3"/>
    <mergeCell ref="AD2:AG2"/>
    <mergeCell ref="AH2:AK2"/>
    <mergeCell ref="AL2:AO2"/>
    <mergeCell ref="AP2:AS2"/>
    <mergeCell ref="AT2:AW2"/>
    <mergeCell ref="AX2:BA2"/>
    <mergeCell ref="Z1:AC1"/>
    <mergeCell ref="Z2:AC2"/>
    <mergeCell ref="AL3:AO3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3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B10" sqref="AB10"/>
    </sheetView>
  </sheetViews>
  <sheetFormatPr defaultColWidth="8.8984375" defaultRowHeight="18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7" width="5.09765625" style="31" customWidth="1"/>
    <col min="18" max="18" width="4.8984375" customWidth="1"/>
    <col min="19" max="21" width="4.8984375" style="4" customWidth="1"/>
    <col min="22" max="33" width="4.8984375" customWidth="1"/>
    <col min="34" max="35" width="7" customWidth="1"/>
    <col min="36" max="36" width="22.5" customWidth="1"/>
    <col min="37" max="52" width="5.09765625" customWidth="1"/>
  </cols>
  <sheetData>
    <row r="1" spans="1:52">
      <c r="A1" s="44" t="s">
        <v>123</v>
      </c>
      <c r="B1" s="44" t="s">
        <v>124</v>
      </c>
      <c r="C1" s="44" t="s">
        <v>125</v>
      </c>
      <c r="D1" s="44" t="s">
        <v>126</v>
      </c>
      <c r="E1" s="75" t="s">
        <v>115</v>
      </c>
      <c r="F1" s="78" t="s">
        <v>127</v>
      </c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66" t="s">
        <v>128</v>
      </c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8"/>
      <c r="AH1" s="71" t="s">
        <v>129</v>
      </c>
      <c r="AI1" s="73"/>
      <c r="AJ1" s="44" t="s">
        <v>10</v>
      </c>
      <c r="AK1" s="71" t="s">
        <v>130</v>
      </c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3"/>
    </row>
    <row r="2" spans="1:52">
      <c r="A2" s="74"/>
      <c r="B2" s="74"/>
      <c r="C2" s="74"/>
      <c r="D2" s="74"/>
      <c r="E2" s="75"/>
      <c r="F2" s="69" t="s">
        <v>100</v>
      </c>
      <c r="G2" s="69" t="s">
        <v>102</v>
      </c>
      <c r="H2" s="69" t="s">
        <v>131</v>
      </c>
      <c r="I2" s="69" t="s">
        <v>101</v>
      </c>
      <c r="J2" s="69" t="s">
        <v>175</v>
      </c>
      <c r="K2" s="69" t="s">
        <v>103</v>
      </c>
      <c r="L2" s="69" t="s">
        <v>104</v>
      </c>
      <c r="M2" s="69" t="s">
        <v>105</v>
      </c>
      <c r="N2" s="69" t="s">
        <v>106</v>
      </c>
      <c r="O2" s="69" t="s">
        <v>107</v>
      </c>
      <c r="P2" s="76"/>
      <c r="Q2" s="76"/>
      <c r="R2" s="71" t="s">
        <v>12</v>
      </c>
      <c r="S2" s="72"/>
      <c r="T2" s="72"/>
      <c r="U2" s="73"/>
      <c r="V2" s="71" t="s">
        <v>108</v>
      </c>
      <c r="W2" s="72"/>
      <c r="X2" s="72"/>
      <c r="Y2" s="73"/>
      <c r="Z2" s="71" t="s">
        <v>132</v>
      </c>
      <c r="AA2" s="72"/>
      <c r="AB2" s="72"/>
      <c r="AC2" s="73"/>
      <c r="AD2" s="71" t="s">
        <v>36</v>
      </c>
      <c r="AE2" s="72"/>
      <c r="AF2" s="72"/>
      <c r="AG2" s="73"/>
      <c r="AH2" s="44" t="s">
        <v>133</v>
      </c>
      <c r="AI2" s="44" t="s">
        <v>134</v>
      </c>
      <c r="AJ2" s="74"/>
      <c r="AK2" s="71" t="s">
        <v>135</v>
      </c>
      <c r="AL2" s="72"/>
      <c r="AM2" s="72"/>
      <c r="AN2" s="72"/>
      <c r="AO2" s="72"/>
      <c r="AP2" s="72"/>
      <c r="AQ2" s="72"/>
      <c r="AR2" s="73"/>
      <c r="AS2" s="43" t="s">
        <v>136</v>
      </c>
      <c r="AT2" s="43"/>
      <c r="AU2" s="43"/>
      <c r="AV2" s="43"/>
      <c r="AW2" s="43"/>
      <c r="AX2" s="43"/>
      <c r="AY2" s="43"/>
      <c r="AZ2" s="43"/>
    </row>
    <row r="3" spans="1:52" s="38" customFormat="1" ht="36">
      <c r="A3" s="45"/>
      <c r="B3" s="45"/>
      <c r="C3" s="45"/>
      <c r="D3" s="45"/>
      <c r="E3" s="75"/>
      <c r="F3" s="70"/>
      <c r="G3" s="70"/>
      <c r="H3" s="70"/>
      <c r="I3" s="70"/>
      <c r="J3" s="70"/>
      <c r="K3" s="70"/>
      <c r="L3" s="70"/>
      <c r="M3" s="70"/>
      <c r="N3" s="70"/>
      <c r="O3" s="70"/>
      <c r="P3" s="77"/>
      <c r="Q3" s="77"/>
      <c r="R3" s="36" t="s">
        <v>117</v>
      </c>
      <c r="S3" s="37" t="s">
        <v>137</v>
      </c>
      <c r="T3" s="37" t="s">
        <v>138</v>
      </c>
      <c r="U3" s="37" t="s">
        <v>139</v>
      </c>
      <c r="V3" s="36" t="s">
        <v>117</v>
      </c>
      <c r="W3" s="37" t="s">
        <v>137</v>
      </c>
      <c r="X3" s="37" t="s">
        <v>138</v>
      </c>
      <c r="Y3" s="37" t="s">
        <v>139</v>
      </c>
      <c r="Z3" s="36" t="s">
        <v>117</v>
      </c>
      <c r="AA3" s="37" t="s">
        <v>137</v>
      </c>
      <c r="AB3" s="37" t="s">
        <v>138</v>
      </c>
      <c r="AC3" s="37" t="s">
        <v>139</v>
      </c>
      <c r="AD3" s="36" t="s">
        <v>117</v>
      </c>
      <c r="AE3" s="37" t="s">
        <v>137</v>
      </c>
      <c r="AF3" s="37" t="s">
        <v>138</v>
      </c>
      <c r="AG3" s="37" t="s">
        <v>139</v>
      </c>
      <c r="AH3" s="45"/>
      <c r="AI3" s="45"/>
      <c r="AJ3" s="45"/>
      <c r="AK3" s="36" t="s">
        <v>12</v>
      </c>
      <c r="AL3" s="36" t="s">
        <v>140</v>
      </c>
      <c r="AM3" s="36" t="s">
        <v>141</v>
      </c>
      <c r="AN3" s="36" t="s">
        <v>142</v>
      </c>
      <c r="AO3" s="36" t="s">
        <v>143</v>
      </c>
      <c r="AP3" s="36" t="s">
        <v>144</v>
      </c>
      <c r="AQ3" s="36" t="s">
        <v>145</v>
      </c>
      <c r="AR3" s="36" t="s">
        <v>146</v>
      </c>
      <c r="AS3" s="36" t="s">
        <v>12</v>
      </c>
      <c r="AT3" s="36" t="s">
        <v>140</v>
      </c>
      <c r="AU3" s="36" t="s">
        <v>141</v>
      </c>
      <c r="AV3" s="36" t="s">
        <v>142</v>
      </c>
      <c r="AW3" s="36" t="s">
        <v>143</v>
      </c>
      <c r="AX3" s="36" t="s">
        <v>144</v>
      </c>
      <c r="AY3" s="36" t="s">
        <v>145</v>
      </c>
      <c r="AZ3" s="36" t="s">
        <v>146</v>
      </c>
    </row>
    <row r="4" spans="1:52">
      <c r="A4" s="1">
        <v>1</v>
      </c>
      <c r="B4" s="7" t="s">
        <v>147</v>
      </c>
      <c r="C4" s="7" t="s">
        <v>148</v>
      </c>
      <c r="D4" s="7">
        <v>102275</v>
      </c>
      <c r="E4" s="17">
        <v>0</v>
      </c>
      <c r="F4" s="23"/>
      <c r="G4" s="23" t="s">
        <v>149</v>
      </c>
      <c r="H4" s="33"/>
      <c r="I4" s="33"/>
      <c r="J4" s="34"/>
      <c r="K4" s="34"/>
      <c r="L4" s="34"/>
      <c r="M4" s="34"/>
      <c r="N4" s="34"/>
      <c r="O4" s="34"/>
      <c r="P4" s="34"/>
      <c r="Q4" s="33"/>
      <c r="R4" s="1"/>
      <c r="S4" s="1"/>
      <c r="T4" s="8"/>
      <c r="U4" s="8"/>
      <c r="V4" s="17"/>
      <c r="W4" s="17">
        <v>0</v>
      </c>
      <c r="X4" s="17">
        <v>0</v>
      </c>
      <c r="Y4" s="17">
        <v>0</v>
      </c>
      <c r="Z4" s="17"/>
      <c r="AA4" s="17">
        <v>0</v>
      </c>
      <c r="AB4" s="17">
        <v>0</v>
      </c>
      <c r="AC4" s="17">
        <v>0</v>
      </c>
      <c r="AD4" s="17"/>
      <c r="AE4" s="17"/>
      <c r="AF4" s="17"/>
      <c r="AG4" s="17">
        <v>0</v>
      </c>
      <c r="AH4" s="22"/>
      <c r="AI4" s="22"/>
      <c r="AJ4" s="22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39"/>
      <c r="AV4" s="16"/>
      <c r="AW4" s="16"/>
      <c r="AX4" s="16"/>
      <c r="AY4" s="16"/>
      <c r="AZ4" s="16"/>
    </row>
    <row r="5" spans="1:52">
      <c r="A5" s="1">
        <v>2</v>
      </c>
      <c r="B5" s="7" t="s">
        <v>150</v>
      </c>
      <c r="C5" s="7" t="s">
        <v>151</v>
      </c>
      <c r="D5" s="7">
        <v>21574</v>
      </c>
      <c r="E5" s="17">
        <v>5</v>
      </c>
      <c r="F5" s="23" t="s">
        <v>149</v>
      </c>
      <c r="G5" s="23"/>
      <c r="H5" s="23"/>
      <c r="I5" s="42"/>
      <c r="J5" s="16"/>
      <c r="K5" s="23" t="s">
        <v>149</v>
      </c>
      <c r="L5" s="16"/>
      <c r="M5" s="16"/>
      <c r="N5" s="16"/>
      <c r="O5" s="23" t="s">
        <v>149</v>
      </c>
      <c r="P5" s="16"/>
      <c r="Q5" s="23"/>
      <c r="R5" s="1"/>
      <c r="S5" s="1"/>
      <c r="T5" s="8"/>
      <c r="U5" s="8"/>
      <c r="V5" s="17"/>
      <c r="W5" s="17">
        <v>1</v>
      </c>
      <c r="X5" s="17">
        <v>3</v>
      </c>
      <c r="Y5" s="17"/>
      <c r="Z5" s="17"/>
      <c r="AA5" s="17">
        <v>0</v>
      </c>
      <c r="AB5" s="17">
        <v>1</v>
      </c>
      <c r="AC5" s="17"/>
      <c r="AD5" s="17"/>
      <c r="AE5" s="17"/>
      <c r="AF5" s="17"/>
      <c r="AG5" s="17">
        <v>0</v>
      </c>
      <c r="AH5" s="22"/>
      <c r="AI5" s="22"/>
      <c r="AJ5" s="22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39"/>
      <c r="AV5" s="15"/>
      <c r="AW5" s="15"/>
      <c r="AX5" s="15"/>
      <c r="AY5" s="15"/>
      <c r="AZ5" s="15"/>
    </row>
    <row r="6" spans="1:52">
      <c r="A6" s="1">
        <v>3</v>
      </c>
      <c r="B6" s="7" t="s">
        <v>152</v>
      </c>
      <c r="C6" s="7" t="s">
        <v>151</v>
      </c>
      <c r="D6" s="7">
        <v>163361</v>
      </c>
      <c r="E6" s="17">
        <v>5</v>
      </c>
      <c r="F6" s="23" t="s">
        <v>149</v>
      </c>
      <c r="G6" s="34"/>
      <c r="H6" s="23"/>
      <c r="I6" s="23" t="s">
        <v>149</v>
      </c>
      <c r="J6" s="16" t="s">
        <v>149</v>
      </c>
      <c r="K6" s="34"/>
      <c r="L6" s="33"/>
      <c r="M6" s="33"/>
      <c r="N6" s="34"/>
      <c r="O6" s="23" t="s">
        <v>149</v>
      </c>
      <c r="P6" s="34"/>
      <c r="Q6" s="33"/>
      <c r="R6" s="1"/>
      <c r="S6" s="1"/>
      <c r="T6" s="8"/>
      <c r="U6" s="8"/>
      <c r="V6" s="17"/>
      <c r="W6" s="17">
        <v>0</v>
      </c>
      <c r="X6" s="17">
        <v>1</v>
      </c>
      <c r="Y6" s="17">
        <v>2</v>
      </c>
      <c r="Z6" s="17"/>
      <c r="AA6" s="17">
        <v>0</v>
      </c>
      <c r="AB6" s="17">
        <v>1</v>
      </c>
      <c r="AC6" s="17"/>
      <c r="AD6" s="17"/>
      <c r="AE6" s="17"/>
      <c r="AF6" s="17"/>
      <c r="AG6" s="17">
        <v>0</v>
      </c>
      <c r="AH6" s="22"/>
      <c r="AI6" s="22"/>
      <c r="AJ6" s="22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39"/>
      <c r="AV6" s="15"/>
      <c r="AW6" s="15"/>
      <c r="AX6" s="15"/>
      <c r="AY6" s="15"/>
      <c r="AZ6" s="15"/>
    </row>
    <row r="7" spans="1:52">
      <c r="A7" s="1">
        <v>4</v>
      </c>
      <c r="B7" s="7" t="s">
        <v>153</v>
      </c>
      <c r="C7" s="7" t="s">
        <v>151</v>
      </c>
      <c r="D7" s="7">
        <v>163521</v>
      </c>
      <c r="E7" s="17">
        <v>5</v>
      </c>
      <c r="F7" s="23" t="s">
        <v>149</v>
      </c>
      <c r="G7" s="23"/>
      <c r="H7" s="23"/>
      <c r="I7" s="23" t="s">
        <v>149</v>
      </c>
      <c r="J7" s="16" t="s">
        <v>149</v>
      </c>
      <c r="K7" s="16"/>
      <c r="L7" s="16"/>
      <c r="M7" s="16"/>
      <c r="N7" s="16"/>
      <c r="O7" s="23" t="s">
        <v>149</v>
      </c>
      <c r="P7" s="16"/>
      <c r="Q7" s="23"/>
      <c r="R7" s="1"/>
      <c r="S7" s="1"/>
      <c r="T7" s="8"/>
      <c r="U7" s="8"/>
      <c r="V7" s="17"/>
      <c r="W7" s="17">
        <v>1</v>
      </c>
      <c r="X7" s="17">
        <v>3</v>
      </c>
      <c r="Y7" s="17"/>
      <c r="Z7" s="17"/>
      <c r="AA7" s="17">
        <v>0</v>
      </c>
      <c r="AB7" s="17">
        <v>1</v>
      </c>
      <c r="AC7" s="17"/>
      <c r="AD7" s="17"/>
      <c r="AE7" s="17"/>
      <c r="AF7" s="17"/>
      <c r="AG7" s="17">
        <v>0</v>
      </c>
      <c r="AH7" s="22"/>
      <c r="AI7" s="22"/>
      <c r="AJ7" s="22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39"/>
      <c r="AV7" s="15"/>
      <c r="AW7" s="15"/>
      <c r="AX7" s="15"/>
      <c r="AY7" s="15"/>
      <c r="AZ7" s="15"/>
    </row>
    <row r="8" spans="1:52">
      <c r="A8" s="1">
        <v>5</v>
      </c>
      <c r="B8" s="7" t="s">
        <v>155</v>
      </c>
      <c r="C8" s="7" t="s">
        <v>154</v>
      </c>
      <c r="D8" s="7">
        <v>56417</v>
      </c>
      <c r="E8" s="17"/>
      <c r="F8" s="23" t="s">
        <v>149</v>
      </c>
      <c r="G8" s="33"/>
      <c r="H8" s="23"/>
      <c r="I8" s="23" t="s">
        <v>149</v>
      </c>
      <c r="J8" s="16" t="s">
        <v>149</v>
      </c>
      <c r="K8" s="34"/>
      <c r="L8" s="34"/>
      <c r="M8" s="34"/>
      <c r="N8" s="34"/>
      <c r="O8" s="23" t="s">
        <v>149</v>
      </c>
      <c r="P8" s="34"/>
      <c r="Q8" s="34"/>
      <c r="R8" s="1"/>
      <c r="S8" s="1"/>
      <c r="T8" s="8"/>
      <c r="U8" s="8"/>
      <c r="V8" s="17"/>
      <c r="W8" s="17">
        <v>1</v>
      </c>
      <c r="X8" s="17">
        <v>4</v>
      </c>
      <c r="Y8" s="17"/>
      <c r="Z8" s="17"/>
      <c r="AA8" s="17">
        <v>0</v>
      </c>
      <c r="AB8" s="17">
        <v>1</v>
      </c>
      <c r="AC8" s="17"/>
      <c r="AD8" s="17"/>
      <c r="AE8" s="17"/>
      <c r="AF8" s="17"/>
      <c r="AG8" s="17">
        <v>0</v>
      </c>
      <c r="AH8" s="22"/>
      <c r="AI8" s="22"/>
      <c r="AJ8" s="22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39"/>
      <c r="AV8" s="15"/>
      <c r="AW8" s="15"/>
      <c r="AX8" s="15"/>
      <c r="AY8" s="15"/>
      <c r="AZ8" s="15"/>
    </row>
    <row r="9" spans="1:52">
      <c r="A9" s="1">
        <v>6</v>
      </c>
      <c r="B9" s="7" t="s">
        <v>156</v>
      </c>
      <c r="C9" s="7" t="s">
        <v>154</v>
      </c>
      <c r="D9" s="7">
        <v>123486</v>
      </c>
      <c r="E9" s="17"/>
      <c r="F9" s="23" t="s">
        <v>149</v>
      </c>
      <c r="G9" s="23"/>
      <c r="H9" s="23"/>
      <c r="I9" s="23"/>
      <c r="J9" s="16"/>
      <c r="K9" s="23" t="s">
        <v>149</v>
      </c>
      <c r="L9" s="16"/>
      <c r="M9" s="16"/>
      <c r="N9" s="16"/>
      <c r="O9" s="23" t="s">
        <v>149</v>
      </c>
      <c r="P9" s="16"/>
      <c r="Q9" s="16"/>
      <c r="R9" s="1"/>
      <c r="S9" s="1"/>
      <c r="T9" s="8"/>
      <c r="U9" s="8"/>
      <c r="V9" s="17"/>
      <c r="W9" s="17">
        <v>3</v>
      </c>
      <c r="X9" s="17">
        <v>3</v>
      </c>
      <c r="Y9" s="17">
        <v>3</v>
      </c>
      <c r="Z9" s="17"/>
      <c r="AA9" s="17">
        <v>0</v>
      </c>
      <c r="AB9" s="17">
        <v>0</v>
      </c>
      <c r="AC9" s="17"/>
      <c r="AD9" s="17"/>
      <c r="AE9" s="17"/>
      <c r="AF9" s="17"/>
      <c r="AG9" s="17">
        <v>0</v>
      </c>
      <c r="AH9" s="22"/>
      <c r="AI9" s="22"/>
      <c r="AJ9" s="22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39"/>
      <c r="AV9" s="15"/>
      <c r="AW9" s="15"/>
      <c r="AX9" s="15"/>
      <c r="AY9" s="15"/>
      <c r="AZ9" s="15"/>
    </row>
    <row r="10" spans="1:52" s="9" customFormat="1">
      <c r="A10" s="1">
        <v>7</v>
      </c>
      <c r="B10" s="7" t="s">
        <v>157</v>
      </c>
      <c r="C10" s="7" t="s">
        <v>154</v>
      </c>
      <c r="D10" s="7">
        <v>354841</v>
      </c>
      <c r="E10" s="17"/>
      <c r="F10" s="23" t="s">
        <v>149</v>
      </c>
      <c r="G10" s="32"/>
      <c r="H10" s="33"/>
      <c r="I10" s="23" t="s">
        <v>149</v>
      </c>
      <c r="J10" s="16" t="s">
        <v>149</v>
      </c>
      <c r="K10" s="23"/>
      <c r="L10" s="34"/>
      <c r="M10" s="34"/>
      <c r="N10" s="34"/>
      <c r="O10" s="23" t="s">
        <v>149</v>
      </c>
      <c r="P10" s="34"/>
      <c r="Q10" s="34"/>
      <c r="R10" s="1"/>
      <c r="S10" s="1"/>
      <c r="T10" s="8"/>
      <c r="U10" s="8"/>
      <c r="V10" s="17"/>
      <c r="W10" s="17">
        <v>1</v>
      </c>
      <c r="X10" s="17">
        <v>4</v>
      </c>
      <c r="Y10" s="17"/>
      <c r="Z10" s="17"/>
      <c r="AA10" s="17">
        <v>0</v>
      </c>
      <c r="AB10" s="17">
        <v>1</v>
      </c>
      <c r="AC10" s="17"/>
      <c r="AD10" s="17"/>
      <c r="AE10" s="17"/>
      <c r="AF10" s="17"/>
      <c r="AG10" s="17">
        <v>0</v>
      </c>
      <c r="AH10" s="22"/>
      <c r="AI10" s="22"/>
      <c r="AJ10" s="22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39"/>
      <c r="AV10" s="16"/>
      <c r="AW10" s="16"/>
      <c r="AX10" s="16"/>
      <c r="AY10" s="16"/>
      <c r="AZ10" s="16"/>
    </row>
    <row r="11" spans="1:52">
      <c r="A11" s="1">
        <v>8</v>
      </c>
      <c r="B11" s="7" t="s">
        <v>158</v>
      </c>
      <c r="C11" s="7" t="s">
        <v>154</v>
      </c>
      <c r="D11" s="7">
        <v>250721</v>
      </c>
      <c r="E11" s="17"/>
      <c r="F11" s="23" t="s">
        <v>149</v>
      </c>
      <c r="G11" s="23"/>
      <c r="H11" s="23"/>
      <c r="I11" s="23" t="s">
        <v>149</v>
      </c>
      <c r="J11" s="16" t="s">
        <v>149</v>
      </c>
      <c r="K11" s="23"/>
      <c r="L11" s="16"/>
      <c r="M11" s="16"/>
      <c r="N11" s="16"/>
      <c r="O11" s="23" t="s">
        <v>149</v>
      </c>
      <c r="P11" s="16"/>
      <c r="Q11" s="16"/>
      <c r="R11" s="1"/>
      <c r="S11" s="1"/>
      <c r="T11" s="8"/>
      <c r="U11" s="8"/>
      <c r="V11" s="17"/>
      <c r="W11" s="17">
        <v>1</v>
      </c>
      <c r="X11" s="17">
        <v>4</v>
      </c>
      <c r="Y11" s="17"/>
      <c r="Z11" s="17"/>
      <c r="AA11" s="17">
        <v>0</v>
      </c>
      <c r="AB11" s="17">
        <v>1</v>
      </c>
      <c r="AC11" s="17"/>
      <c r="AD11" s="17"/>
      <c r="AE11" s="17"/>
      <c r="AF11" s="17"/>
      <c r="AG11" s="17">
        <v>0</v>
      </c>
      <c r="AH11" s="22"/>
      <c r="AI11" s="22"/>
      <c r="AJ11" s="2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</row>
    <row r="12" spans="1:52" s="9" customFormat="1">
      <c r="A12" s="1">
        <v>9</v>
      </c>
      <c r="B12" s="7" t="s">
        <v>159</v>
      </c>
      <c r="C12" s="7" t="s">
        <v>154</v>
      </c>
      <c r="D12" s="7">
        <v>269483</v>
      </c>
      <c r="E12" s="17"/>
      <c r="F12" s="23" t="s">
        <v>149</v>
      </c>
      <c r="G12" s="23"/>
      <c r="H12" s="23"/>
      <c r="I12" s="23"/>
      <c r="J12" s="16"/>
      <c r="K12" s="23" t="s">
        <v>149</v>
      </c>
      <c r="L12" s="16"/>
      <c r="M12" s="16"/>
      <c r="N12" s="16"/>
      <c r="O12" s="23" t="s">
        <v>149</v>
      </c>
      <c r="P12" s="16"/>
      <c r="Q12" s="16"/>
      <c r="R12" s="1"/>
      <c r="S12" s="1"/>
      <c r="T12" s="8"/>
      <c r="U12" s="8"/>
      <c r="V12" s="17"/>
      <c r="W12" s="17">
        <v>1</v>
      </c>
      <c r="X12" s="17">
        <v>4</v>
      </c>
      <c r="Y12" s="17"/>
      <c r="Z12" s="17"/>
      <c r="AA12" s="17">
        <v>0</v>
      </c>
      <c r="AB12" s="17">
        <v>1</v>
      </c>
      <c r="AC12" s="17"/>
      <c r="AD12" s="17"/>
      <c r="AE12" s="17"/>
      <c r="AF12" s="17"/>
      <c r="AG12" s="17">
        <v>0</v>
      </c>
      <c r="AH12" s="22"/>
      <c r="AI12" s="22"/>
      <c r="AJ12" s="2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>
      <c r="A13" s="1">
        <v>10</v>
      </c>
      <c r="B13" s="7" t="s">
        <v>160</v>
      </c>
      <c r="C13" s="7" t="s">
        <v>154</v>
      </c>
      <c r="D13" s="7">
        <v>340514</v>
      </c>
      <c r="E13" s="17"/>
      <c r="F13" s="23" t="s">
        <v>149</v>
      </c>
      <c r="G13" s="23"/>
      <c r="H13" s="23"/>
      <c r="I13" s="23"/>
      <c r="J13" s="16"/>
      <c r="K13" s="23" t="s">
        <v>149</v>
      </c>
      <c r="L13" s="16"/>
      <c r="M13" s="16"/>
      <c r="N13" s="16"/>
      <c r="O13" s="23" t="s">
        <v>149</v>
      </c>
      <c r="P13" s="16"/>
      <c r="Q13" s="16"/>
      <c r="R13" s="1"/>
      <c r="S13" s="1"/>
      <c r="T13" s="8"/>
      <c r="U13" s="8"/>
      <c r="V13" s="17"/>
      <c r="W13" s="17">
        <v>1</v>
      </c>
      <c r="X13" s="17">
        <v>4</v>
      </c>
      <c r="Y13" s="17"/>
      <c r="Z13" s="17"/>
      <c r="AA13" s="17">
        <v>0</v>
      </c>
      <c r="AB13" s="17">
        <v>1</v>
      </c>
      <c r="AC13" s="17"/>
      <c r="AD13" s="17"/>
      <c r="AE13" s="17"/>
      <c r="AF13" s="17"/>
      <c r="AG13" s="17">
        <v>0</v>
      </c>
      <c r="AH13" s="22"/>
      <c r="AI13" s="22"/>
      <c r="AJ13" s="2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 s="9" customFormat="1">
      <c r="A14" s="1">
        <v>11</v>
      </c>
      <c r="B14" s="7" t="s">
        <v>161</v>
      </c>
      <c r="C14" s="7" t="s">
        <v>154</v>
      </c>
      <c r="D14" s="7">
        <v>341036</v>
      </c>
      <c r="E14" s="17"/>
      <c r="F14" s="23" t="s">
        <v>149</v>
      </c>
      <c r="G14" s="23"/>
      <c r="H14" s="23"/>
      <c r="I14" s="23"/>
      <c r="J14" s="16"/>
      <c r="K14" s="23" t="s">
        <v>149</v>
      </c>
      <c r="L14" s="16"/>
      <c r="M14" s="16"/>
      <c r="N14" s="16"/>
      <c r="O14" s="23"/>
      <c r="P14" s="16"/>
      <c r="Q14" s="16"/>
      <c r="R14" s="1"/>
      <c r="S14" s="1"/>
      <c r="T14" s="8"/>
      <c r="U14" s="8"/>
      <c r="V14" s="17"/>
      <c r="W14" s="17">
        <v>0</v>
      </c>
      <c r="X14" s="17">
        <v>0</v>
      </c>
      <c r="Y14" s="17">
        <v>0</v>
      </c>
      <c r="Z14" s="17"/>
      <c r="AA14" s="17">
        <v>0</v>
      </c>
      <c r="AB14" s="17">
        <v>1</v>
      </c>
      <c r="AC14" s="17"/>
      <c r="AD14" s="17"/>
      <c r="AE14" s="17"/>
      <c r="AF14" s="17"/>
      <c r="AG14" s="17">
        <v>0</v>
      </c>
      <c r="AH14" s="22"/>
      <c r="AI14" s="22"/>
      <c r="AJ14" s="22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>
      <c r="A15" s="1">
        <v>12</v>
      </c>
      <c r="B15" s="7" t="s">
        <v>162</v>
      </c>
      <c r="C15" s="7" t="s">
        <v>154</v>
      </c>
      <c r="D15" s="7">
        <v>370522</v>
      </c>
      <c r="E15" s="17"/>
      <c r="F15" s="23" t="s">
        <v>149</v>
      </c>
      <c r="G15" s="23"/>
      <c r="H15" s="23"/>
      <c r="I15" s="23"/>
      <c r="J15" s="16"/>
      <c r="K15" s="23" t="s">
        <v>149</v>
      </c>
      <c r="L15" s="16"/>
      <c r="M15" s="16"/>
      <c r="N15" s="16"/>
      <c r="O15" s="23" t="s">
        <v>149</v>
      </c>
      <c r="P15" s="16"/>
      <c r="Q15" s="16"/>
      <c r="R15" s="1"/>
      <c r="S15" s="1"/>
      <c r="T15" s="8"/>
      <c r="U15" s="8"/>
      <c r="V15" s="17"/>
      <c r="W15" s="17">
        <v>1</v>
      </c>
      <c r="X15" s="17">
        <v>4</v>
      </c>
      <c r="Y15" s="17"/>
      <c r="Z15" s="17"/>
      <c r="AA15" s="17">
        <v>0</v>
      </c>
      <c r="AB15" s="17">
        <v>1</v>
      </c>
      <c r="AC15" s="17"/>
      <c r="AD15" s="17"/>
      <c r="AE15" s="17"/>
      <c r="AF15" s="17"/>
      <c r="AG15" s="17">
        <v>0</v>
      </c>
      <c r="AH15" s="22"/>
      <c r="AI15" s="22"/>
      <c r="AJ15" s="2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>
      <c r="A16" s="1">
        <v>13</v>
      </c>
      <c r="B16" s="7" t="s">
        <v>163</v>
      </c>
      <c r="C16" s="7" t="s">
        <v>154</v>
      </c>
      <c r="D16" s="7">
        <v>370668</v>
      </c>
      <c r="E16" s="17"/>
      <c r="F16" s="23" t="s">
        <v>149</v>
      </c>
      <c r="G16" s="33"/>
      <c r="H16" s="33"/>
      <c r="I16" s="23"/>
      <c r="J16" s="34"/>
      <c r="K16" s="23" t="s">
        <v>149</v>
      </c>
      <c r="L16" s="34"/>
      <c r="M16" s="34"/>
      <c r="N16" s="34"/>
      <c r="O16" s="23" t="s">
        <v>149</v>
      </c>
      <c r="P16" s="34"/>
      <c r="Q16" s="34"/>
      <c r="R16" s="1"/>
      <c r="S16" s="1"/>
      <c r="T16" s="8"/>
      <c r="U16" s="8"/>
      <c r="V16" s="17"/>
      <c r="W16" s="17">
        <v>0</v>
      </c>
      <c r="X16" s="17">
        <v>4</v>
      </c>
      <c r="Y16" s="17"/>
      <c r="Z16" s="17"/>
      <c r="AA16" s="17">
        <v>0</v>
      </c>
      <c r="AB16" s="17">
        <v>1</v>
      </c>
      <c r="AC16" s="17"/>
      <c r="AD16" s="17"/>
      <c r="AE16" s="17"/>
      <c r="AF16" s="17"/>
      <c r="AG16" s="17">
        <v>0</v>
      </c>
      <c r="AH16" s="22"/>
      <c r="AI16" s="22"/>
      <c r="AJ16" s="2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>
      <c r="A17" s="1">
        <v>14</v>
      </c>
      <c r="B17" s="7" t="s">
        <v>164</v>
      </c>
      <c r="C17" s="7" t="s">
        <v>154</v>
      </c>
      <c r="D17" s="7">
        <v>315796</v>
      </c>
      <c r="E17" s="17"/>
      <c r="F17" s="23" t="s">
        <v>149</v>
      </c>
      <c r="G17" s="33"/>
      <c r="H17" s="33"/>
      <c r="I17" s="34"/>
      <c r="J17" s="34"/>
      <c r="K17" s="23" t="s">
        <v>149</v>
      </c>
      <c r="L17" s="34"/>
      <c r="M17" s="34"/>
      <c r="N17" s="34"/>
      <c r="O17" s="23" t="s">
        <v>149</v>
      </c>
      <c r="P17" s="34"/>
      <c r="Q17" s="34"/>
      <c r="R17" s="1"/>
      <c r="S17" s="1"/>
      <c r="T17" s="8"/>
      <c r="U17" s="8"/>
      <c r="V17" s="17"/>
      <c r="W17" s="17">
        <v>0</v>
      </c>
      <c r="X17" s="17">
        <v>4</v>
      </c>
      <c r="Y17" s="17"/>
      <c r="Z17" s="17"/>
      <c r="AA17" s="17">
        <v>0</v>
      </c>
      <c r="AB17" s="17">
        <v>1</v>
      </c>
      <c r="AC17" s="17"/>
      <c r="AD17" s="17"/>
      <c r="AE17" s="17"/>
      <c r="AF17" s="17"/>
      <c r="AG17" s="17">
        <v>0</v>
      </c>
      <c r="AH17" s="22"/>
      <c r="AI17" s="22"/>
      <c r="AJ17" s="2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>
      <c r="A18" s="1">
        <v>15</v>
      </c>
      <c r="B18" s="7" t="s">
        <v>165</v>
      </c>
      <c r="C18" s="7" t="s">
        <v>154</v>
      </c>
      <c r="D18" s="7">
        <v>384233</v>
      </c>
      <c r="E18" s="17"/>
      <c r="F18" s="23" t="s">
        <v>149</v>
      </c>
      <c r="G18" s="23"/>
      <c r="H18" s="23"/>
      <c r="I18" s="23"/>
      <c r="J18" s="16"/>
      <c r="K18" s="23" t="s">
        <v>149</v>
      </c>
      <c r="L18" s="16"/>
      <c r="M18" s="16"/>
      <c r="N18" s="16"/>
      <c r="O18" s="23"/>
      <c r="P18" s="16"/>
      <c r="Q18" s="16"/>
      <c r="R18" s="1"/>
      <c r="S18" s="1"/>
      <c r="T18" s="8"/>
      <c r="U18" s="8"/>
      <c r="V18" s="17"/>
      <c r="W18" s="17">
        <v>0</v>
      </c>
      <c r="X18" s="17">
        <v>0</v>
      </c>
      <c r="Y18" s="17">
        <v>0</v>
      </c>
      <c r="Z18" s="17"/>
      <c r="AA18" s="17">
        <v>0</v>
      </c>
      <c r="AB18" s="17">
        <v>1</v>
      </c>
      <c r="AC18" s="17"/>
      <c r="AD18" s="17"/>
      <c r="AE18" s="17"/>
      <c r="AF18" s="17"/>
      <c r="AG18" s="17">
        <v>0</v>
      </c>
      <c r="AH18" s="27"/>
      <c r="AI18" s="22"/>
      <c r="AJ18" s="22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>
      <c r="A19" s="1">
        <v>16</v>
      </c>
      <c r="B19" s="7" t="s">
        <v>166</v>
      </c>
      <c r="C19" s="7" t="s">
        <v>154</v>
      </c>
      <c r="D19" s="7">
        <v>384723</v>
      </c>
      <c r="E19" s="17"/>
      <c r="F19" s="23" t="s">
        <v>149</v>
      </c>
      <c r="G19" s="23"/>
      <c r="H19" s="23"/>
      <c r="I19" s="23"/>
      <c r="J19" s="16"/>
      <c r="K19" s="23" t="s">
        <v>149</v>
      </c>
      <c r="L19" s="16"/>
      <c r="M19" s="16"/>
      <c r="N19" s="16"/>
      <c r="O19" s="23" t="s">
        <v>149</v>
      </c>
      <c r="P19" s="16"/>
      <c r="Q19" s="16"/>
      <c r="R19" s="1"/>
      <c r="S19" s="1"/>
      <c r="T19" s="8"/>
      <c r="U19" s="8"/>
      <c r="V19" s="17"/>
      <c r="W19" s="17">
        <v>0</v>
      </c>
      <c r="X19" s="17">
        <v>2</v>
      </c>
      <c r="Y19" s="17">
        <v>3</v>
      </c>
      <c r="Z19" s="17"/>
      <c r="AA19" s="17">
        <v>0</v>
      </c>
      <c r="AB19" s="17">
        <v>1</v>
      </c>
      <c r="AC19" s="17"/>
      <c r="AD19" s="17"/>
      <c r="AE19" s="17"/>
      <c r="AF19" s="17"/>
      <c r="AG19" s="17">
        <v>0</v>
      </c>
      <c r="AH19" s="22"/>
      <c r="AI19" s="22"/>
      <c r="AJ19" s="2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>
      <c r="A20" s="1">
        <v>17</v>
      </c>
      <c r="B20" s="7" t="s">
        <v>167</v>
      </c>
      <c r="C20" s="7" t="s">
        <v>154</v>
      </c>
      <c r="D20" s="7">
        <v>349720</v>
      </c>
      <c r="E20" s="17"/>
      <c r="F20" s="23" t="s">
        <v>149</v>
      </c>
      <c r="G20" s="23"/>
      <c r="H20" s="23"/>
      <c r="I20" s="23"/>
      <c r="J20" s="16"/>
      <c r="K20" s="23" t="s">
        <v>149</v>
      </c>
      <c r="L20" s="16"/>
      <c r="M20" s="16"/>
      <c r="N20" s="16"/>
      <c r="O20" s="23" t="s">
        <v>149</v>
      </c>
      <c r="P20" s="16"/>
      <c r="Q20" s="16"/>
      <c r="R20" s="1"/>
      <c r="S20" s="1"/>
      <c r="T20" s="8"/>
      <c r="U20" s="8"/>
      <c r="V20" s="17"/>
      <c r="W20" s="17">
        <v>1</v>
      </c>
      <c r="X20" s="17">
        <v>4</v>
      </c>
      <c r="Y20" s="17"/>
      <c r="Z20" s="17"/>
      <c r="AA20" s="17">
        <v>0</v>
      </c>
      <c r="AB20" s="17">
        <v>1</v>
      </c>
      <c r="AC20" s="17"/>
      <c r="AD20" s="17"/>
      <c r="AE20" s="17"/>
      <c r="AF20" s="17"/>
      <c r="AG20" s="17">
        <v>0</v>
      </c>
      <c r="AH20" s="22"/>
      <c r="AI20" s="22"/>
      <c r="AJ20" s="22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>
      <c r="A21" s="1">
        <v>18</v>
      </c>
      <c r="B21" s="7" t="s">
        <v>168</v>
      </c>
      <c r="C21" s="7" t="s">
        <v>154</v>
      </c>
      <c r="D21" s="7">
        <v>399960</v>
      </c>
      <c r="E21" s="17"/>
      <c r="F21" s="23" t="s">
        <v>149</v>
      </c>
      <c r="G21" s="23"/>
      <c r="H21" s="23"/>
      <c r="I21" s="23"/>
      <c r="J21" s="16"/>
      <c r="K21" s="23" t="s">
        <v>149</v>
      </c>
      <c r="L21" s="23"/>
      <c r="M21" s="23"/>
      <c r="N21" s="16"/>
      <c r="O21" s="23" t="s">
        <v>149</v>
      </c>
      <c r="P21" s="16"/>
      <c r="Q21" s="16"/>
      <c r="R21" s="1"/>
      <c r="S21" s="1"/>
      <c r="T21" s="8"/>
      <c r="U21" s="8"/>
      <c r="V21" s="17"/>
      <c r="W21" s="17">
        <v>1</v>
      </c>
      <c r="X21" s="17">
        <v>4</v>
      </c>
      <c r="Y21" s="17"/>
      <c r="Z21" s="17"/>
      <c r="AA21" s="17">
        <v>0</v>
      </c>
      <c r="AB21" s="17">
        <v>1</v>
      </c>
      <c r="AC21" s="17"/>
      <c r="AD21" s="17"/>
      <c r="AE21" s="17"/>
      <c r="AF21" s="17"/>
      <c r="AG21" s="17">
        <v>0</v>
      </c>
      <c r="AH21" s="22"/>
      <c r="AI21" s="22"/>
      <c r="AJ21" s="2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>
      <c r="A22" s="1">
        <v>19</v>
      </c>
      <c r="B22" s="7" t="s">
        <v>169</v>
      </c>
      <c r="C22" s="7" t="s">
        <v>154</v>
      </c>
      <c r="D22" s="7">
        <v>400072</v>
      </c>
      <c r="E22" s="17"/>
      <c r="F22" s="23" t="s">
        <v>149</v>
      </c>
      <c r="G22" s="23"/>
      <c r="H22" s="23"/>
      <c r="I22" s="23"/>
      <c r="J22" s="16"/>
      <c r="K22" s="23" t="s">
        <v>149</v>
      </c>
      <c r="L22" s="23"/>
      <c r="M22" s="23"/>
      <c r="N22" s="23"/>
      <c r="O22" s="23" t="s">
        <v>149</v>
      </c>
      <c r="P22" s="16"/>
      <c r="Q22" s="16"/>
      <c r="R22" s="1"/>
      <c r="S22" s="1"/>
      <c r="T22" s="8"/>
      <c r="U22" s="8"/>
      <c r="V22" s="17"/>
      <c r="W22" s="17">
        <v>1</v>
      </c>
      <c r="X22" s="17">
        <v>4</v>
      </c>
      <c r="Y22" s="17"/>
      <c r="Z22" s="17"/>
      <c r="AA22" s="17">
        <v>0</v>
      </c>
      <c r="AB22" s="17">
        <v>1</v>
      </c>
      <c r="AC22" s="17"/>
      <c r="AD22" s="17"/>
      <c r="AE22" s="17"/>
      <c r="AF22" s="17"/>
      <c r="AG22" s="17">
        <v>0</v>
      </c>
      <c r="AH22" s="22"/>
      <c r="AI22" s="22"/>
      <c r="AJ22" s="2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>
      <c r="A23" s="1">
        <v>20</v>
      </c>
      <c r="B23" s="7" t="s">
        <v>170</v>
      </c>
      <c r="C23" s="7" t="s">
        <v>154</v>
      </c>
      <c r="D23" s="7">
        <v>400265</v>
      </c>
      <c r="E23" s="17"/>
      <c r="F23" s="23" t="s">
        <v>149</v>
      </c>
      <c r="G23" s="23"/>
      <c r="H23" s="23"/>
      <c r="I23" s="23"/>
      <c r="J23" s="16"/>
      <c r="K23" s="23" t="s">
        <v>149</v>
      </c>
      <c r="L23" s="23"/>
      <c r="M23" s="23"/>
      <c r="N23" s="23"/>
      <c r="O23" s="23" t="s">
        <v>149</v>
      </c>
      <c r="P23" s="16"/>
      <c r="Q23" s="16"/>
      <c r="R23" s="1"/>
      <c r="S23" s="1"/>
      <c r="T23" s="8"/>
      <c r="U23" s="8"/>
      <c r="V23" s="17"/>
      <c r="W23" s="17">
        <v>1</v>
      </c>
      <c r="X23" s="17">
        <v>4</v>
      </c>
      <c r="Y23" s="17"/>
      <c r="Z23" s="17"/>
      <c r="AA23" s="17">
        <v>0</v>
      </c>
      <c r="AB23" s="17">
        <v>1</v>
      </c>
      <c r="AC23" s="17"/>
      <c r="AD23" s="17"/>
      <c r="AE23" s="17"/>
      <c r="AF23" s="17"/>
      <c r="AG23" s="17">
        <v>0</v>
      </c>
      <c r="AH23" s="22"/>
      <c r="AI23" s="22"/>
      <c r="AJ23" s="2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>
      <c r="A24" s="1">
        <v>21</v>
      </c>
      <c r="B24" s="7" t="s">
        <v>171</v>
      </c>
      <c r="C24" s="7" t="s">
        <v>154</v>
      </c>
      <c r="D24" s="7">
        <v>357890</v>
      </c>
      <c r="E24" s="17"/>
      <c r="F24" s="23" t="s">
        <v>149</v>
      </c>
      <c r="G24" s="23"/>
      <c r="H24" s="23"/>
      <c r="I24" s="23"/>
      <c r="J24" s="16"/>
      <c r="K24" s="16"/>
      <c r="L24" s="23" t="s">
        <v>149</v>
      </c>
      <c r="M24" s="23" t="s">
        <v>149</v>
      </c>
      <c r="N24" s="23" t="s">
        <v>149</v>
      </c>
      <c r="O24" s="23" t="s">
        <v>149</v>
      </c>
      <c r="P24" s="16"/>
      <c r="Q24" s="16"/>
      <c r="R24" s="1"/>
      <c r="S24" s="1"/>
      <c r="T24" s="8"/>
      <c r="U24" s="8"/>
      <c r="V24" s="17"/>
      <c r="W24" s="17">
        <v>1</v>
      </c>
      <c r="X24" s="18">
        <v>3</v>
      </c>
      <c r="Y24" s="18">
        <v>4</v>
      </c>
      <c r="Z24" s="17"/>
      <c r="AA24" s="17">
        <v>0</v>
      </c>
      <c r="AB24" s="17">
        <v>1</v>
      </c>
      <c r="AC24" s="17"/>
      <c r="AD24" s="17"/>
      <c r="AE24" s="17"/>
      <c r="AF24" s="17"/>
      <c r="AG24" s="17">
        <v>0</v>
      </c>
      <c r="AH24" s="22"/>
      <c r="AI24" s="35"/>
      <c r="AJ24" s="2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>
      <c r="A25" s="1">
        <v>22</v>
      </c>
      <c r="B25" s="7" t="s">
        <v>172</v>
      </c>
      <c r="C25" s="7" t="s">
        <v>154</v>
      </c>
      <c r="D25" s="7">
        <v>418860</v>
      </c>
      <c r="E25" s="17"/>
      <c r="F25" s="23" t="s">
        <v>149</v>
      </c>
      <c r="G25" s="23"/>
      <c r="H25" s="23"/>
      <c r="I25" s="23"/>
      <c r="J25" s="16"/>
      <c r="K25" s="16"/>
      <c r="L25" s="23" t="s">
        <v>149</v>
      </c>
      <c r="M25" s="23" t="s">
        <v>149</v>
      </c>
      <c r="N25" s="23" t="s">
        <v>149</v>
      </c>
      <c r="O25" s="23" t="s">
        <v>149</v>
      </c>
      <c r="P25" s="16"/>
      <c r="Q25" s="16"/>
      <c r="R25" s="1"/>
      <c r="S25" s="1"/>
      <c r="T25" s="8"/>
      <c r="U25" s="8"/>
      <c r="V25" s="17"/>
      <c r="W25" s="17">
        <v>1</v>
      </c>
      <c r="X25" s="18">
        <v>3</v>
      </c>
      <c r="Y25" s="18">
        <v>4</v>
      </c>
      <c r="Z25" s="17"/>
      <c r="AA25" s="17">
        <v>0</v>
      </c>
      <c r="AB25" s="17">
        <v>1</v>
      </c>
      <c r="AC25" s="17"/>
      <c r="AD25" s="17"/>
      <c r="AE25" s="17"/>
      <c r="AF25" s="17"/>
      <c r="AG25" s="17">
        <v>0</v>
      </c>
      <c r="AH25" s="22"/>
      <c r="AI25" s="22"/>
      <c r="AJ25" s="2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>
      <c r="A26" s="1">
        <v>23</v>
      </c>
      <c r="B26" s="7"/>
      <c r="C26" s="7"/>
      <c r="D26" s="7"/>
      <c r="E26" s="17"/>
      <c r="F26" s="23"/>
      <c r="G26" s="23"/>
      <c r="H26" s="23"/>
      <c r="I26" s="23"/>
      <c r="J26" s="16"/>
      <c r="K26" s="16"/>
      <c r="L26" s="23"/>
      <c r="M26" s="23"/>
      <c r="N26" s="16"/>
      <c r="O26" s="23"/>
      <c r="P26" s="16"/>
      <c r="Q26" s="16"/>
      <c r="R26" s="1"/>
      <c r="S26" s="1"/>
      <c r="T26" s="8"/>
      <c r="U26" s="8"/>
      <c r="V26" s="17"/>
      <c r="W26" s="17"/>
      <c r="X26" s="18"/>
      <c r="Y26" s="18"/>
      <c r="Z26" s="17"/>
      <c r="AA26" s="17"/>
      <c r="AB26" s="17"/>
      <c r="AC26" s="17"/>
      <c r="AD26" s="17"/>
      <c r="AE26" s="17"/>
      <c r="AF26" s="17"/>
      <c r="AG26" s="17"/>
      <c r="AH26" s="22"/>
      <c r="AI26" s="22"/>
      <c r="AJ26" s="2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>
      <c r="A27" s="1">
        <v>24</v>
      </c>
      <c r="B27" s="7"/>
      <c r="C27" s="7"/>
      <c r="D27" s="7"/>
      <c r="E27" s="17"/>
      <c r="F27" s="23"/>
      <c r="G27" s="23"/>
      <c r="H27" s="23"/>
      <c r="I27" s="23"/>
      <c r="J27" s="16"/>
      <c r="K27" s="16"/>
      <c r="L27" s="23"/>
      <c r="M27" s="23"/>
      <c r="N27" s="16"/>
      <c r="O27" s="23"/>
      <c r="P27" s="16"/>
      <c r="Q27" s="16"/>
      <c r="R27" s="1"/>
      <c r="S27" s="1"/>
      <c r="T27" s="8"/>
      <c r="U27" s="8"/>
      <c r="V27" s="17"/>
      <c r="W27" s="17"/>
      <c r="X27" s="18"/>
      <c r="Y27" s="18"/>
      <c r="Z27" s="17"/>
      <c r="AA27" s="17"/>
      <c r="AB27" s="17"/>
      <c r="AC27" s="17"/>
      <c r="AD27" s="17"/>
      <c r="AE27" s="17"/>
      <c r="AF27" s="17"/>
      <c r="AG27" s="17"/>
      <c r="AH27" s="22"/>
      <c r="AI27" s="22"/>
      <c r="AJ27" s="2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>
      <c r="A28" s="1">
        <v>25</v>
      </c>
      <c r="B28" s="7"/>
      <c r="C28" s="7"/>
      <c r="D28" s="7"/>
      <c r="E28" s="17"/>
      <c r="F28" s="23"/>
      <c r="G28" s="23"/>
      <c r="H28" s="23"/>
      <c r="I28" s="23"/>
      <c r="J28" s="16"/>
      <c r="K28" s="16"/>
      <c r="L28" s="23"/>
      <c r="M28" s="23"/>
      <c r="N28" s="16"/>
      <c r="O28" s="23"/>
      <c r="P28" s="16"/>
      <c r="Q28" s="16"/>
      <c r="R28" s="1"/>
      <c r="S28" s="1"/>
      <c r="T28" s="8"/>
      <c r="U28" s="8"/>
      <c r="V28" s="17"/>
      <c r="W28" s="17"/>
      <c r="X28" s="18"/>
      <c r="Y28" s="18"/>
      <c r="Z28" s="17"/>
      <c r="AA28" s="17"/>
      <c r="AB28" s="17"/>
      <c r="AC28" s="17"/>
      <c r="AD28" s="17"/>
      <c r="AE28" s="17"/>
      <c r="AF28" s="17"/>
      <c r="AG28" s="17"/>
      <c r="AH28" s="22"/>
      <c r="AI28" s="22"/>
      <c r="AJ28" s="2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>
      <c r="A29" s="1">
        <v>26</v>
      </c>
      <c r="B29" s="7"/>
      <c r="C29" s="7"/>
      <c r="D29" s="7"/>
      <c r="E29" s="17"/>
      <c r="F29" s="23"/>
      <c r="G29" s="33"/>
      <c r="H29" s="33"/>
      <c r="I29" s="34"/>
      <c r="J29" s="34"/>
      <c r="K29" s="34"/>
      <c r="L29" s="33"/>
      <c r="M29" s="34"/>
      <c r="N29" s="33"/>
      <c r="O29" s="33"/>
      <c r="P29" s="34"/>
      <c r="Q29" s="34"/>
      <c r="R29" s="1"/>
      <c r="S29" s="1"/>
      <c r="T29" s="8"/>
      <c r="U29" s="8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22"/>
      <c r="AI29" s="22"/>
      <c r="AJ29" s="2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>
      <c r="A30" s="1">
        <v>27</v>
      </c>
      <c r="B30" s="7"/>
      <c r="C30" s="7"/>
      <c r="D30" s="7"/>
      <c r="E30" s="17"/>
      <c r="F30" s="23"/>
      <c r="G30" s="33"/>
      <c r="H30" s="33"/>
      <c r="I30" s="34"/>
      <c r="J30" s="34"/>
      <c r="K30" s="34"/>
      <c r="L30" s="33"/>
      <c r="M30" s="34"/>
      <c r="N30" s="33"/>
      <c r="O30" s="33"/>
      <c r="P30" s="34"/>
      <c r="Q30" s="34"/>
      <c r="R30" s="1"/>
      <c r="S30" s="1"/>
      <c r="T30" s="8"/>
      <c r="U30" s="8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22"/>
      <c r="AI30" s="22"/>
      <c r="AJ30" s="2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>
      <c r="A31" s="1">
        <v>28</v>
      </c>
      <c r="B31" s="7"/>
      <c r="C31" s="7"/>
      <c r="D31" s="7"/>
      <c r="E31" s="17"/>
      <c r="F31" s="23"/>
      <c r="G31" s="33"/>
      <c r="H31" s="33"/>
      <c r="I31" s="34"/>
      <c r="J31" s="34"/>
      <c r="K31" s="34"/>
      <c r="L31" s="33"/>
      <c r="M31" s="34"/>
      <c r="N31" s="33"/>
      <c r="O31" s="33"/>
      <c r="P31" s="34"/>
      <c r="Q31" s="34"/>
      <c r="R31" s="1"/>
      <c r="S31" s="1"/>
      <c r="T31" s="8"/>
      <c r="U31" s="8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22"/>
      <c r="AI31" s="22"/>
      <c r="AJ31" s="2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>
      <c r="A32" s="1">
        <v>29</v>
      </c>
      <c r="B32" s="7"/>
      <c r="C32" s="7"/>
      <c r="D32" s="7"/>
      <c r="E32" s="17"/>
      <c r="F32" s="23"/>
      <c r="G32" s="33"/>
      <c r="H32" s="33"/>
      <c r="I32" s="34"/>
      <c r="J32" s="34"/>
      <c r="K32" s="34"/>
      <c r="L32" s="33"/>
      <c r="M32" s="34"/>
      <c r="N32" s="33"/>
      <c r="O32" s="33"/>
      <c r="P32" s="34"/>
      <c r="Q32" s="34"/>
      <c r="R32" s="1"/>
      <c r="S32" s="1"/>
      <c r="T32" s="8"/>
      <c r="U32" s="8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22"/>
      <c r="AI32" s="22"/>
      <c r="AJ32" s="2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>
      <c r="A33" s="1">
        <v>30</v>
      </c>
      <c r="B33" s="7"/>
      <c r="C33" s="7"/>
      <c r="D33" s="7"/>
      <c r="E33" s="17"/>
      <c r="F33" s="23"/>
      <c r="G33" s="33"/>
      <c r="H33" s="33"/>
      <c r="I33" s="34"/>
      <c r="J33" s="34"/>
      <c r="K33" s="34"/>
      <c r="L33" s="33"/>
      <c r="M33" s="34"/>
      <c r="N33" s="33"/>
      <c r="O33" s="33"/>
      <c r="P33" s="34"/>
      <c r="Q33" s="34"/>
      <c r="R33" s="1"/>
      <c r="S33" s="1"/>
      <c r="T33" s="8"/>
      <c r="U33" s="8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22"/>
      <c r="AI33" s="22"/>
      <c r="AJ33" s="2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>
      <c r="A34" s="1">
        <v>31</v>
      </c>
      <c r="B34" s="7"/>
      <c r="C34" s="7"/>
      <c r="D34" s="7"/>
      <c r="E34" s="17"/>
      <c r="F34" s="23"/>
      <c r="G34" s="33"/>
      <c r="H34" s="33"/>
      <c r="I34" s="34"/>
      <c r="J34" s="34"/>
      <c r="K34" s="34"/>
      <c r="L34" s="33"/>
      <c r="M34" s="34"/>
      <c r="N34" s="33"/>
      <c r="O34" s="33"/>
      <c r="P34" s="34"/>
      <c r="Q34" s="34"/>
      <c r="R34" s="1"/>
      <c r="S34" s="1"/>
      <c r="T34" s="8"/>
      <c r="U34" s="8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22"/>
      <c r="AI34" s="22"/>
      <c r="AJ34" s="2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>
      <c r="A35" s="1">
        <v>32</v>
      </c>
      <c r="B35" s="7"/>
      <c r="C35" s="7"/>
      <c r="D35" s="7"/>
      <c r="E35" s="17"/>
      <c r="F35" s="23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1"/>
      <c r="S35" s="1"/>
      <c r="T35" s="8"/>
      <c r="U35" s="8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8"/>
      <c r="AI35" s="17"/>
      <c r="AJ35" s="18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</row>
    <row r="36" spans="1:52">
      <c r="A36" s="1">
        <v>33</v>
      </c>
      <c r="B36" s="7"/>
      <c r="C36" s="7"/>
      <c r="D36" s="7"/>
      <c r="E36" s="17"/>
      <c r="F36" s="23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1"/>
      <c r="S36" s="1"/>
      <c r="T36" s="8"/>
      <c r="U36" s="8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8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</row>
    <row r="37" spans="1:52">
      <c r="A37" s="1">
        <v>34</v>
      </c>
      <c r="B37" s="7"/>
      <c r="C37" s="7"/>
      <c r="D37" s="7"/>
      <c r="E37" s="17"/>
      <c r="F37" s="23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1"/>
      <c r="S37" s="1"/>
      <c r="T37" s="8"/>
      <c r="U37" s="8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8"/>
      <c r="AI37" s="17"/>
      <c r="AJ37" s="18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</row>
    <row r="38" spans="1:52">
      <c r="A38" s="1">
        <v>35</v>
      </c>
      <c r="B38" s="7"/>
      <c r="C38" s="7"/>
      <c r="D38" s="7"/>
      <c r="E38" s="17"/>
      <c r="F38" s="22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1" t="str">
        <f t="shared" ref="R38:R52" si="0">IF(B38="","",1)</f>
        <v/>
      </c>
      <c r="S38" s="8" t="str">
        <f>IF(B38="","",28-(V38+#REF!+#REF!+Z38+#REF!+#REF!+#REF!))</f>
        <v/>
      </c>
      <c r="T38" s="8"/>
      <c r="U38" s="8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8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</row>
    <row r="39" spans="1:52">
      <c r="A39" s="1">
        <v>36</v>
      </c>
      <c r="B39" s="7" t="s">
        <v>173</v>
      </c>
      <c r="C39" s="7" t="s">
        <v>173</v>
      </c>
      <c r="D39" s="7" t="s">
        <v>173</v>
      </c>
      <c r="E39" s="17"/>
      <c r="F39" s="22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1" t="str">
        <f t="shared" si="0"/>
        <v/>
      </c>
      <c r="S39" s="8" t="str">
        <f>IF(B39="","",28-(V39+#REF!+#REF!+Z39+#REF!+#REF!+#REF!))</f>
        <v/>
      </c>
      <c r="T39" s="8"/>
      <c r="U39" s="8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8"/>
      <c r="AI39" s="17"/>
      <c r="AJ39" s="18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</row>
    <row r="40" spans="1:52">
      <c r="A40" s="1">
        <v>37</v>
      </c>
      <c r="B40" s="7" t="s">
        <v>173</v>
      </c>
      <c r="C40" s="7" t="s">
        <v>173</v>
      </c>
      <c r="D40" s="7" t="s">
        <v>173</v>
      </c>
      <c r="E40" s="17"/>
      <c r="F40" s="22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1" t="str">
        <f t="shared" si="0"/>
        <v/>
      </c>
      <c r="S40" s="8" t="str">
        <f>IF(B40="","",28-(V40+#REF!+#REF!+Z40+#REF!+#REF!+#REF!))</f>
        <v/>
      </c>
      <c r="T40" s="8"/>
      <c r="U40" s="8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8"/>
      <c r="AI40" s="17"/>
      <c r="AJ40" s="18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</row>
    <row r="41" spans="1:52">
      <c r="A41" s="1">
        <v>38</v>
      </c>
      <c r="B41" s="7" t="s">
        <v>173</v>
      </c>
      <c r="C41" s="7" t="s">
        <v>173</v>
      </c>
      <c r="D41" s="7" t="s">
        <v>173</v>
      </c>
      <c r="E41" s="17"/>
      <c r="F41" s="22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1" t="str">
        <f t="shared" si="0"/>
        <v/>
      </c>
      <c r="S41" s="8" t="str">
        <f>IF(B41="","",28-(V41+#REF!+#REF!+Z41+#REF!+#REF!+#REF!))</f>
        <v/>
      </c>
      <c r="T41" s="8"/>
      <c r="U41" s="8"/>
      <c r="V41" s="17"/>
      <c r="W41" s="17"/>
      <c r="X41" s="35"/>
      <c r="Y41" s="17"/>
      <c r="Z41" s="17"/>
      <c r="AA41" s="17"/>
      <c r="AB41" s="17"/>
      <c r="AC41" s="17"/>
      <c r="AD41" s="17"/>
      <c r="AE41" s="17"/>
      <c r="AF41" s="17"/>
      <c r="AG41" s="17"/>
      <c r="AH41" s="18"/>
      <c r="AI41" s="17"/>
      <c r="AJ41" s="18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</row>
    <row r="42" spans="1:52">
      <c r="A42" s="1">
        <v>39</v>
      </c>
      <c r="B42" s="7" t="s">
        <v>173</v>
      </c>
      <c r="C42" s="7" t="s">
        <v>173</v>
      </c>
      <c r="D42" s="7" t="s">
        <v>173</v>
      </c>
      <c r="E42" s="17"/>
      <c r="F42" s="22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1" t="str">
        <f t="shared" si="0"/>
        <v/>
      </c>
      <c r="S42" s="8" t="str">
        <f>IF(B42="","",28-(V42+#REF!+#REF!+Z42+#REF!+#REF!+#REF!))</f>
        <v/>
      </c>
      <c r="T42" s="8"/>
      <c r="U42" s="8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8"/>
      <c r="AI42" s="17"/>
      <c r="AJ42" s="18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</row>
    <row r="43" spans="1:52">
      <c r="A43" s="1">
        <v>40</v>
      </c>
      <c r="B43" s="7" t="s">
        <v>173</v>
      </c>
      <c r="C43" s="7" t="s">
        <v>173</v>
      </c>
      <c r="D43" s="7" t="s">
        <v>173</v>
      </c>
      <c r="E43" s="17"/>
      <c r="F43" s="22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1" t="str">
        <f t="shared" si="0"/>
        <v/>
      </c>
      <c r="S43" s="8" t="str">
        <f>IF(B43="","",28-(V43+#REF!+#REF!+Z43+#REF!+#REF!+#REF!))</f>
        <v/>
      </c>
      <c r="T43" s="8"/>
      <c r="U43" s="8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8"/>
      <c r="AI43" s="17"/>
      <c r="AJ43" s="18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</row>
    <row r="44" spans="1:52">
      <c r="A44" s="1">
        <v>41</v>
      </c>
      <c r="B44" s="7" t="s">
        <v>173</v>
      </c>
      <c r="C44" s="7" t="s">
        <v>173</v>
      </c>
      <c r="D44" s="7" t="s">
        <v>173</v>
      </c>
      <c r="E44" s="17"/>
      <c r="F44" s="22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1" t="str">
        <f t="shared" si="0"/>
        <v/>
      </c>
      <c r="S44" s="8" t="str">
        <f>IF(B44="","",28-(V44+#REF!+#REF!+Z44+#REF!+#REF!+#REF!))</f>
        <v/>
      </c>
      <c r="T44" s="8"/>
      <c r="U44" s="8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8"/>
      <c r="AI44" s="17"/>
      <c r="AJ44" s="18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</row>
    <row r="45" spans="1:52">
      <c r="A45" s="1">
        <v>42</v>
      </c>
      <c r="B45" s="7" t="s">
        <v>173</v>
      </c>
      <c r="C45" s="7" t="s">
        <v>173</v>
      </c>
      <c r="D45" s="7" t="s">
        <v>173</v>
      </c>
      <c r="E45" s="17"/>
      <c r="F45" s="22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1" t="str">
        <f t="shared" si="0"/>
        <v/>
      </c>
      <c r="S45" s="8" t="str">
        <f>IF(B45="","",28-(V45+#REF!+#REF!+Z45+#REF!+#REF!+#REF!))</f>
        <v/>
      </c>
      <c r="T45" s="8"/>
      <c r="U45" s="8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8"/>
      <c r="AI45" s="17"/>
      <c r="AJ45" s="18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</row>
    <row r="46" spans="1:52">
      <c r="A46" s="1">
        <v>43</v>
      </c>
      <c r="B46" s="7" t="s">
        <v>173</v>
      </c>
      <c r="C46" s="7" t="s">
        <v>173</v>
      </c>
      <c r="D46" s="7" t="s">
        <v>173</v>
      </c>
      <c r="E46" s="17"/>
      <c r="F46" s="22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1" t="str">
        <f t="shared" si="0"/>
        <v/>
      </c>
      <c r="S46" s="8" t="str">
        <f>IF(B46="","",28-(V46+#REF!+#REF!+Z46+#REF!+#REF!+#REF!))</f>
        <v/>
      </c>
      <c r="T46" s="8"/>
      <c r="U46" s="8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8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</row>
    <row r="47" spans="1:52">
      <c r="A47" s="1">
        <v>44</v>
      </c>
      <c r="B47" s="7" t="s">
        <v>173</v>
      </c>
      <c r="C47" s="7" t="s">
        <v>173</v>
      </c>
      <c r="D47" s="7" t="s">
        <v>173</v>
      </c>
      <c r="E47" s="17"/>
      <c r="F47" s="22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1" t="str">
        <f t="shared" si="0"/>
        <v/>
      </c>
      <c r="S47" s="8" t="str">
        <f>IF(B47="","",28-(V47+#REF!+#REF!+Z47+#REF!+#REF!+#REF!))</f>
        <v/>
      </c>
      <c r="T47" s="8"/>
      <c r="U47" s="8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8"/>
      <c r="AI47" s="17"/>
      <c r="AJ47" s="18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</row>
    <row r="48" spans="1:52">
      <c r="A48" s="1">
        <v>45</v>
      </c>
      <c r="B48" s="7" t="s">
        <v>173</v>
      </c>
      <c r="C48" s="7" t="s">
        <v>173</v>
      </c>
      <c r="D48" s="7" t="s">
        <v>173</v>
      </c>
      <c r="E48" s="17"/>
      <c r="F48" s="22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1" t="str">
        <f t="shared" si="0"/>
        <v/>
      </c>
      <c r="S48" s="8" t="str">
        <f>IF(B48="","",28-(V48+#REF!+#REF!+Z48+#REF!+#REF!+#REF!))</f>
        <v/>
      </c>
      <c r="T48" s="8"/>
      <c r="U48" s="8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8"/>
      <c r="AI48" s="17"/>
      <c r="AJ48" s="18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</row>
    <row r="49" spans="1:52">
      <c r="A49" s="1">
        <v>46</v>
      </c>
      <c r="B49" s="7" t="s">
        <v>173</v>
      </c>
      <c r="C49" s="7" t="s">
        <v>173</v>
      </c>
      <c r="D49" s="7" t="s">
        <v>173</v>
      </c>
      <c r="E49" s="17"/>
      <c r="F49" s="22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1" t="str">
        <f t="shared" si="0"/>
        <v/>
      </c>
      <c r="S49" s="8" t="str">
        <f>IF(B49="","",28-(V49+#REF!+#REF!+Z49+#REF!+#REF!+#REF!))</f>
        <v/>
      </c>
      <c r="T49" s="8"/>
      <c r="U49" s="8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8"/>
      <c r="AI49" s="17"/>
      <c r="AJ49" s="18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</row>
    <row r="50" spans="1:52">
      <c r="A50" s="1">
        <v>47</v>
      </c>
      <c r="B50" s="7" t="s">
        <v>173</v>
      </c>
      <c r="C50" s="7" t="s">
        <v>173</v>
      </c>
      <c r="D50" s="7" t="s">
        <v>173</v>
      </c>
      <c r="E50" s="17"/>
      <c r="F50" s="22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1" t="str">
        <f t="shared" si="0"/>
        <v/>
      </c>
      <c r="S50" s="8" t="str">
        <f>IF(B50="","",28-(V50+#REF!+#REF!+Z50+#REF!+#REF!+#REF!))</f>
        <v/>
      </c>
      <c r="T50" s="8"/>
      <c r="U50" s="8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8"/>
      <c r="AI50" s="17"/>
      <c r="AJ50" s="18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</row>
    <row r="51" spans="1:52">
      <c r="A51" s="1">
        <v>48</v>
      </c>
      <c r="B51" s="7" t="s">
        <v>173</v>
      </c>
      <c r="C51" s="7" t="s">
        <v>173</v>
      </c>
      <c r="D51" s="7" t="s">
        <v>173</v>
      </c>
      <c r="E51" s="17"/>
      <c r="F51" s="22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1" t="str">
        <f t="shared" si="0"/>
        <v/>
      </c>
      <c r="S51" s="8" t="str">
        <f>IF(B51="","",28-(V51+#REF!+#REF!+Z51+#REF!+#REF!+#REF!))</f>
        <v/>
      </c>
      <c r="T51" s="8"/>
      <c r="U51" s="8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8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</row>
    <row r="52" spans="1:52">
      <c r="A52" s="1">
        <v>49</v>
      </c>
      <c r="B52" s="7" t="s">
        <v>173</v>
      </c>
      <c r="C52" s="7" t="s">
        <v>173</v>
      </c>
      <c r="D52" s="7" t="s">
        <v>173</v>
      </c>
      <c r="E52" s="17"/>
      <c r="F52" s="22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1" t="str">
        <f t="shared" si="0"/>
        <v/>
      </c>
      <c r="S52" s="8" t="str">
        <f>IF(B52="","",28-(V52+#REF!+#REF!+Z52+#REF!+#REF!+#REF!))</f>
        <v/>
      </c>
      <c r="T52" s="8"/>
      <c r="U52" s="8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8"/>
      <c r="AI52" s="17"/>
      <c r="AJ52" s="18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</row>
    <row r="53" spans="1:52" ht="90.75" customHeight="1">
      <c r="E53" s="1"/>
      <c r="F53" s="8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10"/>
      <c r="S53" s="11"/>
      <c r="T53" s="11"/>
      <c r="U53" s="1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</sheetData>
  <autoFilter ref="A3:AZ53" xr:uid="{10753C3B-7DF4-4CB3-B2FD-E7EC5D97F975}"/>
  <mergeCells count="30">
    <mergeCell ref="AK2:AR2"/>
    <mergeCell ref="AS2:AZ2"/>
    <mergeCell ref="AK1:AZ1"/>
    <mergeCell ref="O2:O3"/>
    <mergeCell ref="Z2:AC2"/>
    <mergeCell ref="R2:U2"/>
    <mergeCell ref="V2:Y2"/>
    <mergeCell ref="AJ1:AJ3"/>
    <mergeCell ref="P2:P3"/>
    <mergeCell ref="Q2:Q3"/>
    <mergeCell ref="AH2:AH3"/>
    <mergeCell ref="AI2:AI3"/>
    <mergeCell ref="AH1:AI1"/>
    <mergeCell ref="F1:Q1"/>
    <mergeCell ref="F2:F3"/>
    <mergeCell ref="G2:G3"/>
    <mergeCell ref="A1:A3"/>
    <mergeCell ref="B1:B3"/>
    <mergeCell ref="C1:C3"/>
    <mergeCell ref="D1:D3"/>
    <mergeCell ref="E1:E3"/>
    <mergeCell ref="R1:AG1"/>
    <mergeCell ref="L2:L3"/>
    <mergeCell ref="M2:M3"/>
    <mergeCell ref="N2:N3"/>
    <mergeCell ref="H2:H3"/>
    <mergeCell ref="I2:I3"/>
    <mergeCell ref="J2:J3"/>
    <mergeCell ref="K2:K3"/>
    <mergeCell ref="AD2:AG2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174</v>
      </c>
    </row>
    <row r="2" spans="1:1">
      <c r="A2" s="17"/>
    </row>
    <row r="3" spans="1:1">
      <c r="A3" s="17"/>
    </row>
    <row r="4" spans="1:1">
      <c r="A4" s="17"/>
    </row>
    <row r="5" spans="1:1">
      <c r="A5" s="17"/>
    </row>
    <row r="6" spans="1:1">
      <c r="A6" s="17"/>
    </row>
    <row r="7" spans="1:1">
      <c r="A7" s="17"/>
    </row>
    <row r="8" spans="1:1">
      <c r="A8" s="17"/>
    </row>
    <row r="9" spans="1:1">
      <c r="A9" s="17"/>
    </row>
    <row r="10" spans="1:1">
      <c r="A10" s="17"/>
    </row>
    <row r="11" spans="1:1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A41D21-D01C-45D0-9A6E-456CBA1FD4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cp:lastPrinted>2023-12-26T02:37:01Z</cp:lastPrinted>
  <dcterms:created xsi:type="dcterms:W3CDTF">2021-11-08T06:59:49Z</dcterms:created>
  <dcterms:modified xsi:type="dcterms:W3CDTF">2024-01-25T07:32:08Z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