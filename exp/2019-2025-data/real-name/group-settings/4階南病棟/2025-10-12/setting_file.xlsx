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18.200.110\f_看護部Ｃ\★令和7年度看護師長会PJ\R7業務改善PJ\勤務表自動作成（セクション別）\"/>
    </mc:Choice>
  </mc:AlternateContent>
  <bookViews>
    <workbookView xWindow="0" yWindow="0" windowWidth="20490" windowHeight="6810" tabRatio="847" firstSheet="2" activeTab="3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3" i="13" l="1"/>
  <c r="O53" i="13"/>
</calcChain>
</file>

<file path=xl/comments1.xml><?xml version="1.0" encoding="utf-8"?>
<comments xmlns="http://schemas.openxmlformats.org/spreadsheetml/2006/main">
  <authors>
    <author>tomokoa</author>
  </authors>
  <commentList>
    <comment ref="D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<sst xmlns="http://schemas.openxmlformats.org/spreadsheetml/2006/main" count="441" uniqueCount="197">
  <si>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</si>
  <si>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</si>
  <si>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</si>
  <si>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</si>
  <si>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</si>
  <si>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</si>
  <si>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</si>
  <si>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</si>
  <si>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</si>
  <si>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</si>
  <si>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</si>
  <si>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</si>
  <si>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</si>
  <si>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</si>
  <si>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</si>
  <si>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</si>
  <si>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</si>
  <si>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</si>
  <si>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</si>
  <si>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</si>
  <si>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</si>
  <si>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</si>
  <si>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</si>
  <si>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</si>
  <si>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</si>
  <si>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</si>
  <si>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</si>
  <si>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</si>
  <si>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</si>
  <si>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</si>
  <si>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</si>
  <si>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</si>
  <si>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</si>
  <si>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</si>
  <si>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</si>
  <si>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</si>
  <si>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</si>
  <si>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</si>
  <si>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</si>
  <si>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</si>
  <si>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</si>
  <si>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</si>
  <si>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</si>
  <si>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</si>
  <si>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</si>
  <si>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</si>
  <si>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</si>
  <si>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</si>
  <si>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</si>
  <si>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</si>
  <si>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</si>
  <si>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</si>
  <si>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</si>
  <si>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</si>
  <si>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</si>
  <si>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</si>
  <si>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</si>
  <si>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</si>
  <si>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</si>
  <si>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</si>
  <si>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</si>
  <si>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</si>
  <si>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</si>
  <si>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</si>
  <si>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</si>
  <si>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</si>
  <si>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</si>
  <si>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</si>
  <si>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</si>
  <si>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</si>
  <si>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</si>
  <si>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</si>
  <si>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</si>
  <si>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</si>
  <si>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</si>
  <si>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</si>
  <si>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</si>
  <si>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</si>
  <si>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</si>
  <si>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</si>
  <si>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</si>
  <si>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</si>
  <si>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</si>
  <si>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</si>
  <si>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</si>
  <si>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</si>
  <si>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</si>
  <si>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</si>
  <si>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</si>
  <si>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</si>
  <si>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</si>
  <si>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</si>
  <si>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</si>
  <si>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</si>
  <si>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</si>
  <si>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</si>
  <si>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</si>
  <si>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</si>
  <si>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</si>
  <si>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</si>
  <si>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</si>
  <si>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</si>
  <si>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</si>
  <si>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</si>
  <si>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</si>
  <si>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</si>
  <si>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</si>
  <si>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</si>
  <si>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</si>
  <si>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</si>
  <si>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</si>
  <si>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</si>
  <si>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</si>
  <si>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</si>
  <si>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</si>
  <si>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</si>
  <si>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</si>
  <si>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</si>
  <si>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B</t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</si>
  <si>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</si>
  <si>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</si>
  <si>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</si>
  <si>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</si>
  <si>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</si>
  <si>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</si>
  <si>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</si>
  <si>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</si>
  <si>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</si>
  <si>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</si>
  <si>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</si>
  <si>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</si>
  <si>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</si>
  <si>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</si>
  <si>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</si>
  <si>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</si>
  <si>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</si>
  <si>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</si>
  <si>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</si>
  <si>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</si>
  <si>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</si>
  <si>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</si>
  <si>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</si>
  <si>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</si>
  <si>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</si>
  <si>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</si>
  <si>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</si>
  <si>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</si>
  <si>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</si>
  <si>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</si>
  <si>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</si>
  <si>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</si>
  <si>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</si>
  <si>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</si>
  <si>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</si>
  <si>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</si>
  <si>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</si>
  <si>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</si>
  <si>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</si>
  <si>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</si>
  <si>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</si>
  <si>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</si>
  <si>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</si>
  <si>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</si>
  <si>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上原　良江</t>
  </si>
  <si>
    <t>望月　沙織</t>
  </si>
  <si>
    <t>松山　和佳</t>
  </si>
  <si>
    <t>藤巻　夕香里</t>
  </si>
  <si>
    <t>佐藤　恵理香</t>
  </si>
  <si>
    <t>稲垣　愛</t>
  </si>
  <si>
    <t>田上　貴士</t>
  </si>
  <si>
    <t>雨宮　周実</t>
  </si>
  <si>
    <t>穂坂　樹里</t>
  </si>
  <si>
    <t>伊東　未緒</t>
  </si>
  <si>
    <t>岩波　みさと</t>
  </si>
  <si>
    <t>中野　佑麻</t>
  </si>
  <si>
    <t>芳賀　友香</t>
  </si>
  <si>
    <t>高井　彩</t>
  </si>
  <si>
    <t>秋山　温輝</t>
  </si>
  <si>
    <t>鈴木　優果</t>
  </si>
  <si>
    <t>金田　莉里花</t>
  </si>
  <si>
    <t>鷹野　江里子</t>
  </si>
  <si>
    <t>補）大原　佳緒</t>
  </si>
  <si>
    <t>派）古田　盛和</t>
  </si>
  <si>
    <t>派）大城　るみ子</t>
  </si>
  <si>
    <t>補）楠　由衣</t>
  </si>
  <si>
    <t>大久保　香織</t>
  </si>
  <si>
    <t>門西　知香</t>
  </si>
  <si>
    <t>金子　春美</t>
  </si>
  <si>
    <t>塚田　瑶</t>
  </si>
  <si>
    <t>櫻井　千聖</t>
  </si>
  <si>
    <t>大木　貴絵</t>
  </si>
  <si>
    <t>派）神山　明美</t>
  </si>
  <si>
    <t>㓛刀　七海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</si>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</sst>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/>
    <cellStyle name="標準 3" xfId="2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7"/>
  <sheetViews>
    <sheetView workbookViewId="0"/>
  </sheetViews>
  <sheetFormatPr defaultColWidth="9" defaultRowHeight="30" customHeight="1" x14ac:dyDescent="0.4"/>
  <cols>
    <col min="1" max="1" width="3.625" style="10" bestFit="1" customWidth="1"/>
    <col min="2" max="16384" width="9" style="10"/>
  </cols>
  <sheetData>
    <row r="1" spans="1:2" ht="30" customHeight="1" x14ac:dyDescent="0.4">
      <c r="A1" s="10" t="s">
        <v>0</v>
      </c>
    </row>
    <row r="2" spans="1:2" ht="30" customHeight="1" x14ac:dyDescent="0.4">
      <c r="A2" s="10">
        <v>1</v>
      </c>
      <c r="B2" s="10" t="s">
        <v>1</v>
      </c>
    </row>
    <row r="3" spans="1:2" ht="30" customHeight="1" x14ac:dyDescent="0.4">
      <c r="A3" s="10">
        <v>2</v>
      </c>
      <c r="B3" s="10" t="s">
        <v>2</v>
      </c>
    </row>
    <row r="4" spans="1:2" ht="30" customHeight="1" x14ac:dyDescent="0.4">
      <c r="A4" s="10">
        <v>3</v>
      </c>
      <c r="B4" s="10" t="s">
        <v>3</v>
      </c>
    </row>
    <row r="5" spans="1:2" ht="30" customHeight="1" x14ac:dyDescent="0.4">
      <c r="A5" s="10">
        <v>4</v>
      </c>
      <c r="B5" s="10" t="s">
        <v>4</v>
      </c>
    </row>
    <row r="6" spans="1:2" ht="30" customHeight="1" x14ac:dyDescent="0.4">
      <c r="A6" s="10">
        <v>5</v>
      </c>
      <c r="B6" s="10" t="s">
        <v>5</v>
      </c>
    </row>
    <row r="7" spans="1:2" ht="30" customHeight="1" x14ac:dyDescent="0.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activeCell="B22" sqref="B22"/>
    </sheetView>
  </sheetViews>
  <sheetFormatPr defaultColWidth="8.875" defaultRowHeight="18.75" x14ac:dyDescent="0.4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 x14ac:dyDescent="0.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BA8"/>
  <sheetViews>
    <sheetView zoomScaleNormal="100" workbookViewId="0">
      <selection activeCell="B8" sqref="B8:E8"/>
    </sheetView>
  </sheetViews>
  <sheetFormatPr defaultColWidth="9" defaultRowHeight="15.75" customHeight="1" x14ac:dyDescent="0.4"/>
  <cols>
    <col min="1" max="1" width="13" style="4" bestFit="1" customWidth="1"/>
    <col min="2" max="33" width="4.375" style="4" customWidth="1"/>
    <col min="34" max="35" width="5.125" style="4" customWidth="1"/>
    <col min="36" max="37" width="5.125" style="4" bestFit="1" customWidth="1"/>
    <col min="38" max="45" width="4.375" style="4" customWidth="1"/>
    <col min="46" max="51" width="5.125" style="21" customWidth="1"/>
    <col min="52" max="53" width="5.125" style="4" customWidth="1"/>
    <col min="54" max="16384" width="9" style="4"/>
  </cols>
  <sheetData>
    <row r="1" spans="1:53" s="20" customFormat="1" ht="38.25" customHeight="1" x14ac:dyDescent="0.4">
      <c r="A1" s="19" t="s">
        <v>115</v>
      </c>
      <c r="B1" s="68" t="s">
        <v>116</v>
      </c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6" t="s">
        <v>36</v>
      </c>
      <c r="AE1" s="67"/>
      <c r="AF1" s="67"/>
      <c r="AG1" s="67"/>
      <c r="AH1" s="73" t="s">
        <v>117</v>
      </c>
      <c r="AI1" s="74"/>
      <c r="AJ1" s="74"/>
      <c r="AK1" s="75"/>
      <c r="AL1" s="69" t="s">
        <v>118</v>
      </c>
      <c r="AM1" s="70"/>
      <c r="AN1" s="70"/>
      <c r="AO1" s="71"/>
      <c r="AP1" s="72" t="s">
        <v>119</v>
      </c>
      <c r="AQ1" s="72"/>
      <c r="AR1" s="72"/>
      <c r="AS1" s="72"/>
      <c r="AT1" s="68" t="s">
        <v>120</v>
      </c>
      <c r="AU1" s="68"/>
      <c r="AV1" s="68"/>
      <c r="AW1" s="68"/>
      <c r="AX1" s="68"/>
      <c r="AY1" s="68"/>
      <c r="AZ1" s="68"/>
      <c r="BA1" s="68"/>
    </row>
    <row r="2" spans="1:53" s="21" customFormat="1" ht="18.75" x14ac:dyDescent="0.4">
      <c r="A2" s="16" t="s">
        <v>77</v>
      </c>
      <c r="B2" s="60" t="s">
        <v>12</v>
      </c>
      <c r="C2" s="61"/>
      <c r="D2" s="61"/>
      <c r="E2" s="62"/>
      <c r="F2" s="60" t="s">
        <v>106</v>
      </c>
      <c r="G2" s="61"/>
      <c r="H2" s="61"/>
      <c r="I2" s="62"/>
      <c r="J2" s="60" t="s">
        <v>121</v>
      </c>
      <c r="K2" s="61"/>
      <c r="L2" s="61"/>
      <c r="M2" s="62"/>
      <c r="N2" s="60" t="s">
        <v>122</v>
      </c>
      <c r="O2" s="61"/>
      <c r="P2" s="61"/>
      <c r="Q2" s="62"/>
      <c r="R2" s="60" t="s">
        <v>123</v>
      </c>
      <c r="S2" s="61"/>
      <c r="T2" s="61"/>
      <c r="U2" s="62"/>
      <c r="V2" s="60" t="s">
        <v>39</v>
      </c>
      <c r="W2" s="61"/>
      <c r="X2" s="61"/>
      <c r="Y2" s="62"/>
      <c r="Z2" s="60" t="s">
        <v>124</v>
      </c>
      <c r="AA2" s="61"/>
      <c r="AB2" s="61"/>
      <c r="AC2" s="62"/>
      <c r="AD2" s="60" t="s">
        <v>125</v>
      </c>
      <c r="AE2" s="61"/>
      <c r="AF2" s="61"/>
      <c r="AG2" s="62"/>
      <c r="AH2" s="60" t="s">
        <v>12</v>
      </c>
      <c r="AI2" s="61"/>
      <c r="AJ2" s="61"/>
      <c r="AK2" s="62"/>
      <c r="AL2" s="60" t="s">
        <v>126</v>
      </c>
      <c r="AM2" s="61"/>
      <c r="AN2" s="61"/>
      <c r="AO2" s="62"/>
      <c r="AP2" s="60" t="s">
        <v>121</v>
      </c>
      <c r="AQ2" s="61"/>
      <c r="AR2" s="61"/>
      <c r="AS2" s="62"/>
      <c r="AT2" s="60" t="s">
        <v>127</v>
      </c>
      <c r="AU2" s="61"/>
      <c r="AV2" s="61"/>
      <c r="AW2" s="62"/>
      <c r="AX2" s="60" t="s">
        <v>127</v>
      </c>
      <c r="AY2" s="61"/>
      <c r="AZ2" s="61"/>
      <c r="BA2" s="62"/>
    </row>
    <row r="3" spans="1:53" s="21" customFormat="1" ht="18.75" x14ac:dyDescent="0.4">
      <c r="A3" s="16" t="s">
        <v>128</v>
      </c>
      <c r="B3" s="60" t="s">
        <v>129</v>
      </c>
      <c r="C3" s="61"/>
      <c r="D3" s="61"/>
      <c r="E3" s="62"/>
      <c r="F3" s="60" t="s">
        <v>129</v>
      </c>
      <c r="G3" s="61"/>
      <c r="H3" s="61"/>
      <c r="I3" s="62"/>
      <c r="J3" s="60" t="s">
        <v>129</v>
      </c>
      <c r="K3" s="61"/>
      <c r="L3" s="61"/>
      <c r="M3" s="62"/>
      <c r="N3" s="60" t="s">
        <v>129</v>
      </c>
      <c r="O3" s="61"/>
      <c r="P3" s="61"/>
      <c r="Q3" s="62"/>
      <c r="R3" s="60" t="s">
        <v>130</v>
      </c>
      <c r="S3" s="61"/>
      <c r="T3" s="61"/>
      <c r="U3" s="62"/>
      <c r="V3" s="60" t="s">
        <v>129</v>
      </c>
      <c r="W3" s="61"/>
      <c r="X3" s="61"/>
      <c r="Y3" s="62"/>
      <c r="Z3" s="60" t="s">
        <v>129</v>
      </c>
      <c r="AA3" s="61"/>
      <c r="AB3" s="61"/>
      <c r="AC3" s="62"/>
      <c r="AD3" s="60" t="s">
        <v>129</v>
      </c>
      <c r="AE3" s="61"/>
      <c r="AF3" s="61"/>
      <c r="AG3" s="62"/>
      <c r="AH3" s="60" t="s">
        <v>129</v>
      </c>
      <c r="AI3" s="61"/>
      <c r="AJ3" s="61"/>
      <c r="AK3" s="62"/>
      <c r="AL3" s="60" t="s">
        <v>129</v>
      </c>
      <c r="AM3" s="61"/>
      <c r="AN3" s="61"/>
      <c r="AO3" s="62"/>
      <c r="AP3" s="60" t="s">
        <v>129</v>
      </c>
      <c r="AQ3" s="61"/>
      <c r="AR3" s="61"/>
      <c r="AS3" s="62"/>
      <c r="AT3" s="60" t="s">
        <v>129</v>
      </c>
      <c r="AU3" s="61"/>
      <c r="AV3" s="61"/>
      <c r="AW3" s="62"/>
      <c r="AX3" s="60" t="s">
        <v>131</v>
      </c>
      <c r="AY3" s="61"/>
      <c r="AZ3" s="61"/>
      <c r="BA3" s="62"/>
    </row>
    <row r="4" spans="1:53" s="21" customFormat="1" ht="37.5" x14ac:dyDescent="0.4">
      <c r="A4" s="16" t="s">
        <v>132</v>
      </c>
      <c r="B4" s="19" t="s">
        <v>133</v>
      </c>
      <c r="C4" s="19" t="s">
        <v>134</v>
      </c>
      <c r="D4" s="19" t="s">
        <v>135</v>
      </c>
      <c r="E4" s="19" t="s">
        <v>136</v>
      </c>
      <c r="F4" s="19" t="s">
        <v>133</v>
      </c>
      <c r="G4" s="19" t="s">
        <v>134</v>
      </c>
      <c r="H4" s="19" t="s">
        <v>135</v>
      </c>
      <c r="I4" s="19" t="s">
        <v>136</v>
      </c>
      <c r="J4" s="19" t="s">
        <v>133</v>
      </c>
      <c r="K4" s="19" t="s">
        <v>134</v>
      </c>
      <c r="L4" s="19" t="s">
        <v>135</v>
      </c>
      <c r="M4" s="19" t="s">
        <v>136</v>
      </c>
      <c r="N4" s="19" t="s">
        <v>133</v>
      </c>
      <c r="O4" s="19" t="s">
        <v>134</v>
      </c>
      <c r="P4" s="19" t="s">
        <v>135</v>
      </c>
      <c r="Q4" s="19" t="s">
        <v>136</v>
      </c>
      <c r="R4" s="19" t="s">
        <v>133</v>
      </c>
      <c r="S4" s="19" t="s">
        <v>134</v>
      </c>
      <c r="T4" s="19" t="s">
        <v>135</v>
      </c>
      <c r="U4" s="19" t="s">
        <v>136</v>
      </c>
      <c r="V4" s="19" t="s">
        <v>133</v>
      </c>
      <c r="W4" s="19" t="s">
        <v>134</v>
      </c>
      <c r="X4" s="19" t="s">
        <v>135</v>
      </c>
      <c r="Y4" s="19" t="s">
        <v>136</v>
      </c>
      <c r="Z4" s="19" t="s">
        <v>133</v>
      </c>
      <c r="AA4" s="19" t="s">
        <v>134</v>
      </c>
      <c r="AB4" s="19" t="s">
        <v>135</v>
      </c>
      <c r="AC4" s="19" t="s">
        <v>136</v>
      </c>
      <c r="AD4" s="19" t="s">
        <v>133</v>
      </c>
      <c r="AE4" s="19" t="s">
        <v>134</v>
      </c>
      <c r="AF4" s="19" t="s">
        <v>135</v>
      </c>
      <c r="AG4" s="19" t="s">
        <v>136</v>
      </c>
      <c r="AH4" s="19" t="s">
        <v>133</v>
      </c>
      <c r="AI4" s="19" t="s">
        <v>134</v>
      </c>
      <c r="AJ4" s="19" t="s">
        <v>135</v>
      </c>
      <c r="AK4" s="19" t="s">
        <v>136</v>
      </c>
      <c r="AL4" s="19" t="s">
        <v>133</v>
      </c>
      <c r="AM4" s="19" t="s">
        <v>134</v>
      </c>
      <c r="AN4" s="19" t="s">
        <v>135</v>
      </c>
      <c r="AO4" s="19" t="s">
        <v>136</v>
      </c>
      <c r="AP4" s="19" t="s">
        <v>133</v>
      </c>
      <c r="AQ4" s="19" t="s">
        <v>134</v>
      </c>
      <c r="AR4" s="19" t="s">
        <v>135</v>
      </c>
      <c r="AS4" s="19" t="s">
        <v>136</v>
      </c>
      <c r="AT4" s="19" t="s">
        <v>133</v>
      </c>
      <c r="AU4" s="19" t="s">
        <v>134</v>
      </c>
      <c r="AV4" s="19" t="s">
        <v>135</v>
      </c>
      <c r="AW4" s="19" t="s">
        <v>136</v>
      </c>
      <c r="AX4" s="19" t="s">
        <v>133</v>
      </c>
      <c r="AY4" s="19" t="s">
        <v>134</v>
      </c>
      <c r="AZ4" s="19" t="s">
        <v>135</v>
      </c>
      <c r="BA4" s="19" t="s">
        <v>136</v>
      </c>
    </row>
    <row r="5" spans="1:53" ht="18.75" x14ac:dyDescent="0.4">
      <c r="A5" s="16" t="s">
        <v>137</v>
      </c>
      <c r="B5" s="6">
        <v>3</v>
      </c>
      <c r="C5" s="6">
        <v>4</v>
      </c>
      <c r="D5" s="6"/>
      <c r="E5" s="6"/>
      <c r="F5" s="6">
        <v>3</v>
      </c>
      <c r="G5" s="6">
        <v>3</v>
      </c>
      <c r="H5" s="6">
        <v>3</v>
      </c>
      <c r="I5" s="6">
        <v>3</v>
      </c>
      <c r="J5" s="6">
        <v>3</v>
      </c>
      <c r="K5" s="6">
        <v>3</v>
      </c>
      <c r="L5" s="6">
        <v>4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>
        <v>1</v>
      </c>
      <c r="AE5" s="6">
        <v>1</v>
      </c>
      <c r="AF5" s="6">
        <v>2</v>
      </c>
      <c r="AG5" s="6"/>
      <c r="AH5" s="6"/>
      <c r="AI5" s="6">
        <v>1</v>
      </c>
      <c r="AJ5" s="6">
        <v>1</v>
      </c>
      <c r="AK5" s="6"/>
      <c r="AL5" s="6">
        <v>1</v>
      </c>
      <c r="AM5" s="6">
        <v>2</v>
      </c>
      <c r="AN5" s="6">
        <v>2</v>
      </c>
      <c r="AO5" s="6"/>
      <c r="AP5" s="6">
        <v>0</v>
      </c>
      <c r="AQ5" s="6">
        <v>1</v>
      </c>
      <c r="AR5" s="6">
        <v>1</v>
      </c>
      <c r="AS5" s="6">
        <v>1</v>
      </c>
      <c r="AT5" s="18"/>
      <c r="AU5" s="18"/>
      <c r="AV5" s="18"/>
      <c r="AW5" s="18"/>
      <c r="AX5" s="18"/>
      <c r="AY5" s="18"/>
      <c r="AZ5" s="18"/>
      <c r="BA5" s="18"/>
    </row>
    <row r="6" spans="1:53" ht="18.75" x14ac:dyDescent="0.4">
      <c r="A6" s="16" t="s">
        <v>138</v>
      </c>
      <c r="B6" s="6">
        <v>2</v>
      </c>
      <c r="C6" s="6">
        <v>3</v>
      </c>
      <c r="D6" s="6"/>
      <c r="E6" s="6"/>
      <c r="F6" s="6">
        <v>3</v>
      </c>
      <c r="G6" s="6">
        <v>3</v>
      </c>
      <c r="H6" s="6">
        <v>3</v>
      </c>
      <c r="I6" s="6">
        <v>3</v>
      </c>
      <c r="J6" s="6">
        <v>3</v>
      </c>
      <c r="K6" s="6">
        <v>3</v>
      </c>
      <c r="L6" s="6">
        <v>4</v>
      </c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>
        <v>1</v>
      </c>
      <c r="AE6" s="6">
        <v>1</v>
      </c>
      <c r="AF6" s="6">
        <v>2</v>
      </c>
      <c r="AG6" s="6"/>
      <c r="AH6" s="6"/>
      <c r="AI6" s="6">
        <v>1</v>
      </c>
      <c r="AJ6" s="6">
        <v>1</v>
      </c>
      <c r="AK6" s="6"/>
      <c r="AL6" s="6">
        <v>1</v>
      </c>
      <c r="AM6" s="6">
        <v>2</v>
      </c>
      <c r="AN6" s="6">
        <v>2</v>
      </c>
      <c r="AO6" s="6"/>
      <c r="AP6" s="6">
        <v>0</v>
      </c>
      <c r="AQ6" s="6">
        <v>1</v>
      </c>
      <c r="AR6" s="6">
        <v>1</v>
      </c>
      <c r="AS6" s="6">
        <v>1</v>
      </c>
      <c r="AT6" s="18"/>
      <c r="AU6" s="18"/>
      <c r="AV6" s="18"/>
      <c r="AW6" s="18"/>
      <c r="AX6" s="18"/>
      <c r="AY6" s="18"/>
      <c r="AZ6" s="18"/>
      <c r="BA6" s="18"/>
    </row>
    <row r="7" spans="1:53" ht="18.75" x14ac:dyDescent="0.4">
      <c r="A7" s="16" t="s">
        <v>50</v>
      </c>
      <c r="B7" s="6">
        <v>2</v>
      </c>
      <c r="C7" s="6">
        <v>3</v>
      </c>
      <c r="D7" s="6"/>
      <c r="E7" s="6"/>
      <c r="F7" s="6">
        <v>3</v>
      </c>
      <c r="G7" s="6">
        <v>3</v>
      </c>
      <c r="H7" s="6">
        <v>3</v>
      </c>
      <c r="I7" s="6">
        <v>3</v>
      </c>
      <c r="J7" s="6">
        <v>3</v>
      </c>
      <c r="K7" s="6">
        <v>3</v>
      </c>
      <c r="L7" s="6">
        <v>4</v>
      </c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>
        <v>1</v>
      </c>
      <c r="AE7" s="6">
        <v>1</v>
      </c>
      <c r="AF7" s="6">
        <v>2</v>
      </c>
      <c r="AG7" s="6"/>
      <c r="AH7" s="6"/>
      <c r="AI7" s="6">
        <v>1</v>
      </c>
      <c r="AJ7" s="6">
        <v>1</v>
      </c>
      <c r="AK7" s="6"/>
      <c r="AL7" s="6">
        <v>1</v>
      </c>
      <c r="AM7" s="6">
        <v>2</v>
      </c>
      <c r="AN7" s="6">
        <v>2</v>
      </c>
      <c r="AO7" s="6"/>
      <c r="AP7" s="6">
        <v>0</v>
      </c>
      <c r="AQ7" s="6">
        <v>1</v>
      </c>
      <c r="AR7" s="6">
        <v>1</v>
      </c>
      <c r="AS7" s="6">
        <v>1</v>
      </c>
      <c r="AT7" s="18"/>
      <c r="AU7" s="18"/>
      <c r="AV7" s="18"/>
      <c r="AW7" s="18"/>
      <c r="AX7" s="18"/>
      <c r="AY7" s="18"/>
      <c r="AZ7" s="18"/>
      <c r="BA7" s="18"/>
    </row>
    <row r="8" spans="1:53" ht="137.25" customHeight="1" x14ac:dyDescent="0.4">
      <c r="A8" s="16" t="s">
        <v>10</v>
      </c>
      <c r="B8" s="63"/>
      <c r="C8" s="64"/>
      <c r="D8" s="64"/>
      <c r="E8" s="65"/>
      <c r="F8" s="63"/>
      <c r="G8" s="64"/>
      <c r="H8" s="64"/>
      <c r="I8" s="65"/>
      <c r="J8" s="63"/>
      <c r="K8" s="64"/>
      <c r="L8" s="64"/>
      <c r="M8" s="65"/>
      <c r="N8" s="63"/>
      <c r="O8" s="64"/>
      <c r="P8" s="64"/>
      <c r="Q8" s="65"/>
      <c r="R8" s="63"/>
      <c r="S8" s="64"/>
      <c r="T8" s="64"/>
      <c r="U8" s="65"/>
      <c r="V8" s="63"/>
      <c r="W8" s="64"/>
      <c r="X8" s="64"/>
      <c r="Y8" s="65"/>
      <c r="Z8" s="63"/>
      <c r="AA8" s="64"/>
      <c r="AB8" s="64"/>
      <c r="AC8" s="65"/>
      <c r="AD8" s="57"/>
      <c r="AE8" s="58"/>
      <c r="AF8" s="58"/>
      <c r="AG8" s="59"/>
      <c r="AH8" s="63"/>
      <c r="AI8" s="64"/>
      <c r="AJ8" s="64"/>
      <c r="AK8" s="65"/>
      <c r="AL8" s="57"/>
      <c r="AM8" s="58"/>
      <c r="AN8" s="58"/>
      <c r="AO8" s="59"/>
      <c r="AP8" s="57"/>
      <c r="AQ8" s="58"/>
      <c r="AR8" s="58"/>
      <c r="AS8" s="59"/>
      <c r="AT8" s="63"/>
      <c r="AU8" s="64"/>
      <c r="AV8" s="64"/>
      <c r="AW8" s="64"/>
      <c r="AX8" s="64"/>
      <c r="AY8" s="64"/>
      <c r="AZ8" s="64"/>
      <c r="BA8" s="65"/>
    </row>
  </sheetData>
  <mergeCells count="44">
    <mergeCell ref="AD1:AG1"/>
    <mergeCell ref="AT8:BA8"/>
    <mergeCell ref="AT3:AW3"/>
    <mergeCell ref="AT1:BA1"/>
    <mergeCell ref="B1:AC1"/>
    <mergeCell ref="AL1:AO1"/>
    <mergeCell ref="AP1:AS1"/>
    <mergeCell ref="AX3:BA3"/>
    <mergeCell ref="AH3:AK3"/>
    <mergeCell ref="AL3:AO3"/>
    <mergeCell ref="AP3:AS3"/>
    <mergeCell ref="AL2:AO2"/>
    <mergeCell ref="AP2:AS2"/>
    <mergeCell ref="AT2:AW2"/>
    <mergeCell ref="AX2:BA2"/>
    <mergeCell ref="AH1:AK1"/>
    <mergeCell ref="AL8:AO8"/>
    <mergeCell ref="AP8:AS8"/>
    <mergeCell ref="AH8:AK8"/>
    <mergeCell ref="AH2:AK2"/>
    <mergeCell ref="B2:E2"/>
    <mergeCell ref="B3:E3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V8:Y8"/>
    <mergeCell ref="Z2:AC2"/>
    <mergeCell ref="Z3:AC3"/>
    <mergeCell ref="Z8:AC8"/>
    <mergeCell ref="AD8:AG8"/>
    <mergeCell ref="AD2:AG2"/>
    <mergeCell ref="AD3:AG3"/>
    <mergeCell ref="V2:Y2"/>
    <mergeCell ref="V3:Y3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1" sqref="B1:B3"/>
    </sheetView>
  </sheetViews>
  <sheetFormatPr defaultColWidth="8.875" defaultRowHeight="18.75" x14ac:dyDescent="0.4"/>
  <cols>
    <col min="1" max="1" width="5.125" style="28" bestFit="1" customWidth="1"/>
    <col min="2" max="2" width="12.375" style="40" bestFit="1" customWidth="1"/>
    <col min="3" max="3" width="6.625" style="40" bestFit="1" customWidth="1"/>
    <col min="4" max="4" width="9.125" style="40" bestFit="1" customWidth="1"/>
    <col min="5" max="5" width="5.125" style="51" bestFit="1" customWidth="1"/>
    <col min="6" max="13" width="5.125" style="52" customWidth="1"/>
    <col min="14" max="14" width="4.875" style="28" customWidth="1"/>
    <col min="15" max="17" width="4.875" style="43" customWidth="1"/>
    <col min="18" max="33" width="4.875" style="51" customWidth="1"/>
    <col min="34" max="35" width="7" style="28" customWidth="1"/>
    <col min="36" max="36" width="22.5" style="28" customWidth="1"/>
    <col min="37" max="52" width="5.125" style="28" customWidth="1"/>
    <col min="53" max="16384" width="8.875" style="28"/>
  </cols>
  <sheetData>
    <row r="1" spans="1:52" x14ac:dyDescent="0.4">
      <c r="A1" s="79" t="s">
        <v>139</v>
      </c>
      <c r="B1" s="79" t="s">
        <v>140</v>
      </c>
      <c r="C1" s="79" t="s">
        <v>141</v>
      </c>
      <c r="D1" s="79" t="s">
        <v>142</v>
      </c>
      <c r="E1" s="81" t="s">
        <v>131</v>
      </c>
      <c r="F1" s="85" t="s">
        <v>143</v>
      </c>
      <c r="G1" s="85"/>
      <c r="H1" s="85"/>
      <c r="I1" s="85"/>
      <c r="J1" s="85"/>
      <c r="K1" s="85"/>
      <c r="L1" s="85"/>
      <c r="M1" s="85"/>
      <c r="N1" s="79" t="s">
        <v>144</v>
      </c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6" t="s">
        <v>145</v>
      </c>
      <c r="AI1" s="78"/>
      <c r="AJ1" s="82" t="s">
        <v>10</v>
      </c>
      <c r="AK1" s="76" t="s">
        <v>146</v>
      </c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8"/>
    </row>
    <row r="2" spans="1:52" x14ac:dyDescent="0.4">
      <c r="A2" s="79"/>
      <c r="B2" s="79"/>
      <c r="C2" s="79"/>
      <c r="D2" s="79"/>
      <c r="E2" s="81"/>
      <c r="F2" s="80" t="s">
        <v>116</v>
      </c>
      <c r="G2" s="80" t="s">
        <v>117</v>
      </c>
      <c r="H2" s="80" t="s">
        <v>36</v>
      </c>
      <c r="I2" s="80" t="s">
        <v>118</v>
      </c>
      <c r="J2" s="80" t="s">
        <v>119</v>
      </c>
      <c r="K2" s="80" t="s">
        <v>120</v>
      </c>
      <c r="L2" s="85"/>
      <c r="M2" s="85"/>
      <c r="N2" s="79" t="s">
        <v>12</v>
      </c>
      <c r="O2" s="79"/>
      <c r="P2" s="79"/>
      <c r="Q2" s="79"/>
      <c r="R2" s="81" t="s">
        <v>125</v>
      </c>
      <c r="S2" s="81"/>
      <c r="T2" s="81"/>
      <c r="U2" s="81"/>
      <c r="V2" s="81" t="s">
        <v>122</v>
      </c>
      <c r="W2" s="81"/>
      <c r="X2" s="81"/>
      <c r="Y2" s="81"/>
      <c r="Z2" s="81" t="s">
        <v>39</v>
      </c>
      <c r="AA2" s="81"/>
      <c r="AB2" s="81"/>
      <c r="AC2" s="81"/>
      <c r="AD2" s="81" t="s">
        <v>36</v>
      </c>
      <c r="AE2" s="81"/>
      <c r="AF2" s="81"/>
      <c r="AG2" s="81"/>
      <c r="AH2" s="82" t="s">
        <v>147</v>
      </c>
      <c r="AI2" s="82" t="s">
        <v>148</v>
      </c>
      <c r="AJ2" s="83"/>
      <c r="AK2" s="76" t="s">
        <v>149</v>
      </c>
      <c r="AL2" s="77"/>
      <c r="AM2" s="77"/>
      <c r="AN2" s="77"/>
      <c r="AO2" s="77"/>
      <c r="AP2" s="77"/>
      <c r="AQ2" s="77"/>
      <c r="AR2" s="78"/>
      <c r="AS2" s="79" t="s">
        <v>150</v>
      </c>
      <c r="AT2" s="79"/>
      <c r="AU2" s="79"/>
      <c r="AV2" s="79"/>
      <c r="AW2" s="79"/>
      <c r="AX2" s="79"/>
      <c r="AY2" s="79"/>
      <c r="AZ2" s="79"/>
    </row>
    <row r="3" spans="1:52" s="31" customFormat="1" ht="37.5" x14ac:dyDescent="0.4">
      <c r="A3" s="79"/>
      <c r="B3" s="79"/>
      <c r="C3" s="79"/>
      <c r="D3" s="79"/>
      <c r="E3" s="81"/>
      <c r="F3" s="80"/>
      <c r="G3" s="80"/>
      <c r="H3" s="80"/>
      <c r="I3" s="80"/>
      <c r="J3" s="80"/>
      <c r="K3" s="80"/>
      <c r="L3" s="85"/>
      <c r="M3" s="85"/>
      <c r="N3" s="30" t="s">
        <v>133</v>
      </c>
      <c r="O3" s="30" t="s">
        <v>151</v>
      </c>
      <c r="P3" s="30" t="s">
        <v>152</v>
      </c>
      <c r="Q3" s="30" t="s">
        <v>153</v>
      </c>
      <c r="R3" s="53" t="s">
        <v>133</v>
      </c>
      <c r="S3" s="53" t="s">
        <v>151</v>
      </c>
      <c r="T3" s="53" t="s">
        <v>152</v>
      </c>
      <c r="U3" s="53" t="s">
        <v>153</v>
      </c>
      <c r="V3" s="53" t="s">
        <v>133</v>
      </c>
      <c r="W3" s="53" t="s">
        <v>151</v>
      </c>
      <c r="X3" s="53" t="s">
        <v>152</v>
      </c>
      <c r="Y3" s="53" t="s">
        <v>153</v>
      </c>
      <c r="Z3" s="53" t="s">
        <v>133</v>
      </c>
      <c r="AA3" s="53" t="s">
        <v>151</v>
      </c>
      <c r="AB3" s="53" t="s">
        <v>152</v>
      </c>
      <c r="AC3" s="53" t="s">
        <v>153</v>
      </c>
      <c r="AD3" s="53" t="s">
        <v>133</v>
      </c>
      <c r="AE3" s="53" t="s">
        <v>151</v>
      </c>
      <c r="AF3" s="53" t="s">
        <v>152</v>
      </c>
      <c r="AG3" s="53" t="s">
        <v>153</v>
      </c>
      <c r="AH3" s="84"/>
      <c r="AI3" s="84"/>
      <c r="AJ3" s="84"/>
      <c r="AK3" s="30" t="s">
        <v>12</v>
      </c>
      <c r="AL3" s="30" t="s">
        <v>154</v>
      </c>
      <c r="AM3" s="30" t="s">
        <v>155</v>
      </c>
      <c r="AN3" s="30" t="s">
        <v>156</v>
      </c>
      <c r="AO3" s="30" t="s">
        <v>157</v>
      </c>
      <c r="AP3" s="30" t="s">
        <v>158</v>
      </c>
      <c r="AQ3" s="30" t="s">
        <v>159</v>
      </c>
      <c r="AR3" s="30" t="s">
        <v>160</v>
      </c>
      <c r="AS3" s="30" t="s">
        <v>12</v>
      </c>
      <c r="AT3" s="30" t="s">
        <v>154</v>
      </c>
      <c r="AU3" s="30" t="s">
        <v>155</v>
      </c>
      <c r="AV3" s="30" t="s">
        <v>156</v>
      </c>
      <c r="AW3" s="30" t="s">
        <v>157</v>
      </c>
      <c r="AX3" s="30" t="s">
        <v>158</v>
      </c>
      <c r="AY3" s="30" t="s">
        <v>159</v>
      </c>
      <c r="AZ3" s="30" t="s">
        <v>160</v>
      </c>
    </row>
    <row r="4" spans="1:52" x14ac:dyDescent="0.15">
      <c r="A4" s="32">
        <v>1</v>
      </c>
      <c r="B4" s="55" t="s">
        <v>187</v>
      </c>
      <c r="C4" t="s">
        <v>117</v>
      </c>
      <c r="D4" s="55">
        <v>31213</v>
      </c>
      <c r="E4" s="46"/>
      <c r="F4" s="45"/>
      <c r="G4" s="45"/>
      <c r="H4" s="45"/>
      <c r="I4" s="47"/>
      <c r="J4" s="47"/>
      <c r="K4" s="45"/>
      <c r="L4" s="47"/>
      <c r="M4" s="45"/>
      <c r="N4" s="32"/>
      <c r="O4" s="32"/>
      <c r="P4" s="35"/>
      <c r="Q4" s="35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15">
      <c r="A5" s="32">
        <v>2</v>
      </c>
      <c r="B5" s="56" t="s">
        <v>163</v>
      </c>
      <c r="C5" t="s">
        <v>193</v>
      </c>
      <c r="D5" s="56">
        <v>21574</v>
      </c>
      <c r="E5" s="46"/>
      <c r="F5" s="54" t="s">
        <v>196</v>
      </c>
      <c r="G5" s="45" t="s">
        <v>196</v>
      </c>
      <c r="H5" s="54" t="s">
        <v>196</v>
      </c>
      <c r="I5" s="45"/>
      <c r="J5" s="47"/>
      <c r="K5" s="45" t="s">
        <v>196</v>
      </c>
      <c r="L5" s="47"/>
      <c r="M5" s="45"/>
      <c r="N5" s="32"/>
      <c r="O5" s="32"/>
      <c r="P5" s="35"/>
      <c r="Q5" s="35"/>
      <c r="R5" s="46"/>
      <c r="S5" s="46">
        <v>3</v>
      </c>
      <c r="T5" s="46">
        <v>3</v>
      </c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15">
      <c r="A6" s="32">
        <v>3</v>
      </c>
      <c r="B6" s="56" t="s">
        <v>164</v>
      </c>
      <c r="C6" t="s">
        <v>193</v>
      </c>
      <c r="D6" s="56">
        <v>54940</v>
      </c>
      <c r="E6" s="46"/>
      <c r="F6" s="54" t="s">
        <v>196</v>
      </c>
      <c r="G6" s="54" t="s">
        <v>196</v>
      </c>
      <c r="H6" s="54" t="s">
        <v>196</v>
      </c>
      <c r="I6" s="54"/>
      <c r="J6" s="45"/>
      <c r="K6" s="54" t="s">
        <v>196</v>
      </c>
      <c r="L6" s="47"/>
      <c r="M6" s="45"/>
      <c r="N6" s="32"/>
      <c r="O6" s="32"/>
      <c r="P6" s="35"/>
      <c r="Q6" s="35"/>
      <c r="R6" s="46"/>
      <c r="S6" s="46">
        <v>3</v>
      </c>
      <c r="T6" s="46">
        <v>3</v>
      </c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15">
      <c r="A7" s="32">
        <v>4</v>
      </c>
      <c r="B7" s="56" t="s">
        <v>185</v>
      </c>
      <c r="C7" t="s">
        <v>193</v>
      </c>
      <c r="D7" s="56">
        <v>102231</v>
      </c>
      <c r="E7" s="46"/>
      <c r="F7" s="54" t="s">
        <v>196</v>
      </c>
      <c r="G7" s="54" t="s">
        <v>196</v>
      </c>
      <c r="H7" s="45"/>
      <c r="I7" s="54" t="s">
        <v>196</v>
      </c>
      <c r="J7" s="47"/>
      <c r="K7" s="54" t="s">
        <v>196</v>
      </c>
      <c r="L7" s="47"/>
      <c r="M7" s="45"/>
      <c r="N7" s="32"/>
      <c r="O7" s="32"/>
      <c r="P7" s="35"/>
      <c r="Q7" s="35"/>
      <c r="R7" s="46"/>
      <c r="S7" s="46">
        <v>3</v>
      </c>
      <c r="T7" s="46">
        <v>3</v>
      </c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15">
      <c r="A8" s="32">
        <v>5</v>
      </c>
      <c r="B8" s="56" t="s">
        <v>165</v>
      </c>
      <c r="C8" t="s">
        <v>194</v>
      </c>
      <c r="D8" s="56">
        <v>56471</v>
      </c>
      <c r="E8" s="46"/>
      <c r="F8" s="54" t="s">
        <v>196</v>
      </c>
      <c r="G8" s="54" t="s">
        <v>196</v>
      </c>
      <c r="H8" s="54" t="s">
        <v>196</v>
      </c>
      <c r="I8" s="54"/>
      <c r="J8" s="47"/>
      <c r="K8" s="54" t="s">
        <v>196</v>
      </c>
      <c r="L8" s="47"/>
      <c r="M8" s="47"/>
      <c r="N8" s="32"/>
      <c r="O8" s="32"/>
      <c r="P8" s="35"/>
      <c r="Q8" s="35"/>
      <c r="R8" s="46"/>
      <c r="S8" s="46">
        <v>4</v>
      </c>
      <c r="T8" s="46">
        <v>6</v>
      </c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15">
      <c r="A9" s="32">
        <v>6</v>
      </c>
      <c r="B9" s="56" t="s">
        <v>190</v>
      </c>
      <c r="C9" t="s">
        <v>194</v>
      </c>
      <c r="D9" s="56">
        <v>58352</v>
      </c>
      <c r="E9" s="46"/>
      <c r="F9" s="54" t="s">
        <v>196</v>
      </c>
      <c r="G9" s="45"/>
      <c r="H9" s="45"/>
      <c r="I9" s="54" t="s">
        <v>196</v>
      </c>
      <c r="J9" s="47"/>
      <c r="K9" s="54" t="s">
        <v>196</v>
      </c>
      <c r="L9" s="47"/>
      <c r="M9" s="47"/>
      <c r="N9" s="32"/>
      <c r="O9" s="32"/>
      <c r="P9" s="35"/>
      <c r="Q9" s="35"/>
      <c r="R9" s="46"/>
      <c r="S9" s="46">
        <v>4</v>
      </c>
      <c r="T9" s="46">
        <v>6</v>
      </c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15">
      <c r="A10" s="32">
        <v>7</v>
      </c>
      <c r="B10" s="56" t="s">
        <v>166</v>
      </c>
      <c r="C10" t="s">
        <v>194</v>
      </c>
      <c r="D10" s="56">
        <v>123486</v>
      </c>
      <c r="E10" s="46"/>
      <c r="F10" s="54" t="s">
        <v>196</v>
      </c>
      <c r="G10" s="45"/>
      <c r="H10" s="45" t="s">
        <v>196</v>
      </c>
      <c r="I10" s="54"/>
      <c r="J10" s="47"/>
      <c r="K10" s="54" t="s">
        <v>196</v>
      </c>
      <c r="L10" s="47"/>
      <c r="M10" s="47"/>
      <c r="N10" s="32"/>
      <c r="O10" s="32"/>
      <c r="P10" s="35"/>
      <c r="Q10" s="35"/>
      <c r="R10" s="46"/>
      <c r="S10" s="46">
        <v>2</v>
      </c>
      <c r="T10" s="46">
        <v>2</v>
      </c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15">
      <c r="A11" s="32">
        <v>8</v>
      </c>
      <c r="B11" s="56" t="s">
        <v>167</v>
      </c>
      <c r="C11" t="s">
        <v>194</v>
      </c>
      <c r="D11" s="56">
        <v>354841</v>
      </c>
      <c r="E11" s="46"/>
      <c r="F11" s="54" t="s">
        <v>196</v>
      </c>
      <c r="G11" s="44"/>
      <c r="H11" s="54" t="s">
        <v>196</v>
      </c>
      <c r="I11" s="54"/>
      <c r="J11" s="47"/>
      <c r="K11" s="54" t="s">
        <v>196</v>
      </c>
      <c r="L11" s="47"/>
      <c r="M11" s="47"/>
      <c r="N11" s="32"/>
      <c r="O11" s="32"/>
      <c r="P11" s="35"/>
      <c r="Q11" s="35"/>
      <c r="R11" s="46"/>
      <c r="S11" s="46">
        <v>4</v>
      </c>
      <c r="T11" s="46">
        <v>4</v>
      </c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15">
      <c r="A12" s="32">
        <v>9</v>
      </c>
      <c r="B12" s="56" t="s">
        <v>168</v>
      </c>
      <c r="C12" t="s">
        <v>194</v>
      </c>
      <c r="D12" s="56">
        <v>279884</v>
      </c>
      <c r="E12" s="46"/>
      <c r="F12" s="54" t="s">
        <v>196</v>
      </c>
      <c r="G12" s="45"/>
      <c r="H12" s="54" t="s">
        <v>196</v>
      </c>
      <c r="I12" s="54"/>
      <c r="J12" s="47"/>
      <c r="K12" s="54" t="s">
        <v>196</v>
      </c>
      <c r="L12" s="47"/>
      <c r="M12" s="47"/>
      <c r="N12" s="32"/>
      <c r="O12" s="32"/>
      <c r="P12" s="35"/>
      <c r="Q12" s="35"/>
      <c r="R12" s="46"/>
      <c r="S12" s="46">
        <v>2</v>
      </c>
      <c r="T12" s="46">
        <v>2</v>
      </c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15">
      <c r="A13" s="32">
        <v>10</v>
      </c>
      <c r="B13" s="56" t="s">
        <v>169</v>
      </c>
      <c r="C13" t="s">
        <v>194</v>
      </c>
      <c r="D13" s="56">
        <v>340514</v>
      </c>
      <c r="E13" s="46"/>
      <c r="F13" s="54" t="s">
        <v>196</v>
      </c>
      <c r="G13" s="45"/>
      <c r="H13" s="54" t="s">
        <v>196</v>
      </c>
      <c r="I13" s="54"/>
      <c r="J13" s="47"/>
      <c r="K13" s="54" t="s">
        <v>196</v>
      </c>
      <c r="L13" s="47"/>
      <c r="M13" s="47"/>
      <c r="N13" s="32"/>
      <c r="O13" s="32"/>
      <c r="P13" s="35"/>
      <c r="Q13" s="35"/>
      <c r="R13" s="46"/>
      <c r="S13" s="46">
        <v>4</v>
      </c>
      <c r="T13" s="46">
        <v>6</v>
      </c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15">
      <c r="A14" s="32">
        <v>11</v>
      </c>
      <c r="B14" s="56" t="s">
        <v>170</v>
      </c>
      <c r="C14" t="s">
        <v>194</v>
      </c>
      <c r="D14" s="56">
        <v>384233</v>
      </c>
      <c r="E14" s="46"/>
      <c r="F14" s="54" t="s">
        <v>196</v>
      </c>
      <c r="G14" s="45"/>
      <c r="H14" s="45"/>
      <c r="I14" s="54" t="s">
        <v>196</v>
      </c>
      <c r="J14" s="47"/>
      <c r="K14" s="54" t="s">
        <v>196</v>
      </c>
      <c r="L14" s="47"/>
      <c r="M14" s="47"/>
      <c r="N14" s="32"/>
      <c r="O14" s="32"/>
      <c r="P14" s="35"/>
      <c r="Q14" s="35"/>
      <c r="R14" s="46"/>
      <c r="S14" s="46">
        <v>4</v>
      </c>
      <c r="T14" s="46">
        <v>6</v>
      </c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15">
      <c r="A15" s="32">
        <v>12</v>
      </c>
      <c r="B15" s="56" t="s">
        <v>171</v>
      </c>
      <c r="C15" t="s">
        <v>194</v>
      </c>
      <c r="D15" s="56">
        <v>384723</v>
      </c>
      <c r="E15" s="46"/>
      <c r="F15" s="54" t="s">
        <v>196</v>
      </c>
      <c r="G15" s="45"/>
      <c r="H15" s="45"/>
      <c r="I15" s="54"/>
      <c r="J15" s="45"/>
      <c r="K15" s="45"/>
      <c r="L15" s="47"/>
      <c r="M15" s="47"/>
      <c r="N15" s="32"/>
      <c r="O15" s="32"/>
      <c r="P15" s="35"/>
      <c r="Q15" s="35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15">
      <c r="A16" s="32">
        <v>13</v>
      </c>
      <c r="B16" s="56" t="s">
        <v>172</v>
      </c>
      <c r="C16" t="s">
        <v>194</v>
      </c>
      <c r="D16" s="56">
        <v>349720</v>
      </c>
      <c r="E16" s="46"/>
      <c r="F16" s="54" t="s">
        <v>196</v>
      </c>
      <c r="G16" s="45"/>
      <c r="H16" s="45" t="s">
        <v>196</v>
      </c>
      <c r="I16" s="54"/>
      <c r="J16" s="45"/>
      <c r="K16" s="45" t="s">
        <v>196</v>
      </c>
      <c r="L16" s="47"/>
      <c r="M16" s="47"/>
      <c r="N16" s="32"/>
      <c r="O16" s="32"/>
      <c r="P16" s="35"/>
      <c r="Q16" s="35"/>
      <c r="R16" s="46"/>
      <c r="S16" s="46">
        <v>4</v>
      </c>
      <c r="T16" s="46">
        <v>6</v>
      </c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15">
      <c r="A17" s="32">
        <v>14</v>
      </c>
      <c r="B17" s="56" t="s">
        <v>174</v>
      </c>
      <c r="C17" t="s">
        <v>194</v>
      </c>
      <c r="D17" s="56">
        <v>399960</v>
      </c>
      <c r="E17" s="46"/>
      <c r="F17" s="54" t="s">
        <v>196</v>
      </c>
      <c r="G17" s="45"/>
      <c r="H17" s="54" t="s">
        <v>196</v>
      </c>
      <c r="I17" s="54"/>
      <c r="J17" s="45"/>
      <c r="K17" s="54" t="s">
        <v>196</v>
      </c>
      <c r="L17" s="47"/>
      <c r="M17" s="47"/>
      <c r="N17" s="32"/>
      <c r="O17" s="32"/>
      <c r="P17" s="35"/>
      <c r="Q17" s="35"/>
      <c r="R17" s="46"/>
      <c r="S17" s="46">
        <v>4</v>
      </c>
      <c r="T17" s="46">
        <v>6</v>
      </c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15">
      <c r="A18" s="32">
        <v>15</v>
      </c>
      <c r="B18" s="56" t="s">
        <v>173</v>
      </c>
      <c r="C18" t="s">
        <v>194</v>
      </c>
      <c r="D18" s="56">
        <v>400072</v>
      </c>
      <c r="E18" s="46"/>
      <c r="F18" s="54" t="s">
        <v>196</v>
      </c>
      <c r="G18" s="45"/>
      <c r="H18" s="54" t="s">
        <v>196</v>
      </c>
      <c r="I18" s="54"/>
      <c r="J18" s="45"/>
      <c r="K18" s="54" t="s">
        <v>196</v>
      </c>
      <c r="L18" s="47"/>
      <c r="M18" s="47"/>
      <c r="N18" s="32"/>
      <c r="O18" s="32"/>
      <c r="P18" s="35"/>
      <c r="Q18" s="35"/>
      <c r="R18" s="46"/>
      <c r="S18" s="46">
        <v>4</v>
      </c>
      <c r="T18" s="46">
        <v>6</v>
      </c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15">
      <c r="A19" s="32">
        <v>16</v>
      </c>
      <c r="B19" s="56" t="s">
        <v>175</v>
      </c>
      <c r="C19" t="s">
        <v>194</v>
      </c>
      <c r="D19" s="56">
        <v>400265</v>
      </c>
      <c r="E19" s="46"/>
      <c r="F19" s="54" t="s">
        <v>196</v>
      </c>
      <c r="G19" s="45"/>
      <c r="H19" s="54" t="s">
        <v>196</v>
      </c>
      <c r="I19" s="54"/>
      <c r="J19" s="45"/>
      <c r="K19" s="54" t="s">
        <v>196</v>
      </c>
      <c r="L19" s="47"/>
      <c r="M19" s="47"/>
      <c r="N19" s="32"/>
      <c r="O19" s="32"/>
      <c r="P19" s="35"/>
      <c r="Q19" s="35"/>
      <c r="R19" s="46"/>
      <c r="S19" s="46">
        <v>4</v>
      </c>
      <c r="T19" s="46">
        <v>6</v>
      </c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15">
      <c r="A20" s="32">
        <v>17</v>
      </c>
      <c r="B20" s="56" t="s">
        <v>176</v>
      </c>
      <c r="C20" t="s">
        <v>194</v>
      </c>
      <c r="D20" s="56">
        <v>357890</v>
      </c>
      <c r="E20" s="46"/>
      <c r="F20" s="54" t="s">
        <v>196</v>
      </c>
      <c r="G20" s="45"/>
      <c r="H20" s="45"/>
      <c r="I20" s="54" t="s">
        <v>196</v>
      </c>
      <c r="J20" s="47"/>
      <c r="K20" s="54" t="s">
        <v>196</v>
      </c>
      <c r="L20" s="47"/>
      <c r="M20" s="47"/>
      <c r="N20" s="32"/>
      <c r="O20" s="32"/>
      <c r="P20" s="35"/>
      <c r="Q20" s="35"/>
      <c r="R20" s="46"/>
      <c r="S20" s="46">
        <v>4</v>
      </c>
      <c r="T20" s="46">
        <v>6</v>
      </c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15">
      <c r="A21" s="32">
        <v>18</v>
      </c>
      <c r="B21" s="56" t="s">
        <v>177</v>
      </c>
      <c r="C21" t="s">
        <v>194</v>
      </c>
      <c r="D21" s="56">
        <v>469361</v>
      </c>
      <c r="E21" s="46"/>
      <c r="F21" s="54" t="s">
        <v>196</v>
      </c>
      <c r="G21" s="45"/>
      <c r="H21" s="45"/>
      <c r="I21" s="54" t="s">
        <v>196</v>
      </c>
      <c r="J21" s="47"/>
      <c r="K21" s="54" t="s">
        <v>196</v>
      </c>
      <c r="L21" s="47"/>
      <c r="M21" s="47"/>
      <c r="N21" s="32"/>
      <c r="O21" s="32"/>
      <c r="P21" s="35"/>
      <c r="Q21" s="35"/>
      <c r="R21" s="46"/>
      <c r="S21" s="46">
        <v>4</v>
      </c>
      <c r="T21" s="46">
        <v>6</v>
      </c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15">
      <c r="A22" s="32">
        <v>19</v>
      </c>
      <c r="B22" s="56" t="s">
        <v>178</v>
      </c>
      <c r="C22" t="s">
        <v>194</v>
      </c>
      <c r="D22" s="56">
        <v>469565</v>
      </c>
      <c r="E22" s="46"/>
      <c r="F22" s="54" t="s">
        <v>196</v>
      </c>
      <c r="G22" s="45"/>
      <c r="H22" s="45"/>
      <c r="I22" s="54" t="s">
        <v>196</v>
      </c>
      <c r="J22" s="45"/>
      <c r="K22" s="54" t="s">
        <v>196</v>
      </c>
      <c r="L22" s="47"/>
      <c r="M22" s="47"/>
      <c r="N22" s="32"/>
      <c r="O22" s="32"/>
      <c r="P22" s="35"/>
      <c r="Q22" s="35"/>
      <c r="R22" s="46"/>
      <c r="S22" s="46">
        <v>4</v>
      </c>
      <c r="T22" s="46">
        <v>6</v>
      </c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15">
      <c r="A23" s="32">
        <v>20</v>
      </c>
      <c r="B23" s="56" t="s">
        <v>179</v>
      </c>
      <c r="C23" t="s">
        <v>194</v>
      </c>
      <c r="D23" s="56">
        <v>469485</v>
      </c>
      <c r="E23" s="46"/>
      <c r="F23" s="54" t="s">
        <v>196</v>
      </c>
      <c r="G23" s="45"/>
      <c r="H23" s="45"/>
      <c r="I23" s="54" t="s">
        <v>196</v>
      </c>
      <c r="J23" s="45"/>
      <c r="K23" s="54" t="s">
        <v>196</v>
      </c>
      <c r="L23" s="47"/>
      <c r="M23" s="47"/>
      <c r="N23" s="32"/>
      <c r="O23" s="32"/>
      <c r="P23" s="35"/>
      <c r="Q23" s="35"/>
      <c r="R23" s="46"/>
      <c r="S23" s="46">
        <v>4</v>
      </c>
      <c r="T23" s="46">
        <v>6</v>
      </c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15">
      <c r="A24" s="32">
        <v>21</v>
      </c>
      <c r="B24" s="56" t="s">
        <v>186</v>
      </c>
      <c r="C24" t="s">
        <v>194</v>
      </c>
      <c r="D24" s="56">
        <v>125262</v>
      </c>
      <c r="E24" s="46"/>
      <c r="F24" s="54" t="s">
        <v>196</v>
      </c>
      <c r="G24" s="45"/>
      <c r="H24" s="45"/>
      <c r="I24" s="54" t="s">
        <v>196</v>
      </c>
      <c r="J24" s="45"/>
      <c r="K24" s="45"/>
      <c r="L24" s="47"/>
      <c r="M24" s="47"/>
      <c r="N24" s="32"/>
      <c r="O24" s="32"/>
      <c r="P24" s="35"/>
      <c r="Q24" s="35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15">
      <c r="A25" s="32">
        <v>22</v>
      </c>
      <c r="B25" s="56" t="s">
        <v>188</v>
      </c>
      <c r="C25" t="s">
        <v>194</v>
      </c>
      <c r="D25" s="56">
        <v>357935</v>
      </c>
      <c r="E25" s="46"/>
      <c r="F25" s="54" t="s">
        <v>196</v>
      </c>
      <c r="G25" s="45"/>
      <c r="H25" s="45"/>
      <c r="I25" s="54"/>
      <c r="J25" s="45" t="s">
        <v>196</v>
      </c>
      <c r="K25" s="54" t="s">
        <v>196</v>
      </c>
      <c r="L25" s="47"/>
      <c r="M25" s="47"/>
      <c r="N25" s="32"/>
      <c r="O25" s="32"/>
      <c r="P25" s="35"/>
      <c r="Q25" s="35"/>
      <c r="R25" s="46"/>
      <c r="S25" s="46">
        <v>2</v>
      </c>
      <c r="T25" s="46">
        <v>3</v>
      </c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15">
      <c r="A26" s="32">
        <v>23</v>
      </c>
      <c r="B26" s="56" t="s">
        <v>189</v>
      </c>
      <c r="C26" t="s">
        <v>194</v>
      </c>
      <c r="D26" s="56">
        <v>385804</v>
      </c>
      <c r="E26" s="46"/>
      <c r="F26" s="54" t="s">
        <v>196</v>
      </c>
      <c r="G26" s="45"/>
      <c r="H26" s="45"/>
      <c r="I26" s="54"/>
      <c r="J26" s="54" t="s">
        <v>196</v>
      </c>
      <c r="K26" s="54" t="s">
        <v>196</v>
      </c>
      <c r="L26" s="47"/>
      <c r="M26" s="47"/>
      <c r="N26" s="32"/>
      <c r="O26" s="32"/>
      <c r="P26" s="35"/>
      <c r="Q26" s="35"/>
      <c r="R26" s="46"/>
      <c r="S26" s="46">
        <v>2</v>
      </c>
      <c r="T26" s="46">
        <v>3</v>
      </c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15">
      <c r="A27" s="32">
        <v>24</v>
      </c>
      <c r="B27" s="56" t="s">
        <v>192</v>
      </c>
      <c r="C27" t="s">
        <v>194</v>
      </c>
      <c r="D27" s="56">
        <v>606220</v>
      </c>
      <c r="E27" s="46"/>
      <c r="F27" s="54" t="s">
        <v>196</v>
      </c>
      <c r="G27" s="45"/>
      <c r="H27" s="45"/>
      <c r="I27" s="54"/>
      <c r="J27" s="54" t="s">
        <v>196</v>
      </c>
      <c r="K27" s="54" t="s">
        <v>196</v>
      </c>
      <c r="L27" s="47"/>
      <c r="M27" s="47"/>
      <c r="N27" s="32"/>
      <c r="O27" s="32"/>
      <c r="P27" s="35"/>
      <c r="Q27" s="35"/>
      <c r="R27" s="46"/>
      <c r="S27" s="46">
        <v>2</v>
      </c>
      <c r="T27" s="46">
        <v>3</v>
      </c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15">
      <c r="A28" s="32">
        <v>25</v>
      </c>
      <c r="B28" s="56" t="s">
        <v>180</v>
      </c>
      <c r="C28" t="s">
        <v>194</v>
      </c>
      <c r="D28" s="56">
        <v>368494</v>
      </c>
      <c r="E28" s="46"/>
      <c r="F28" s="45"/>
      <c r="G28" s="45"/>
      <c r="H28" s="45"/>
      <c r="I28" s="45"/>
      <c r="J28" s="45"/>
      <c r="K28" s="45"/>
      <c r="L28" s="47"/>
      <c r="M28" s="47"/>
      <c r="N28" s="32"/>
      <c r="O28" s="32"/>
      <c r="P28" s="35"/>
      <c r="Q28" s="35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15">
      <c r="A29" s="32">
        <v>26</v>
      </c>
      <c r="B29" s="56" t="s">
        <v>181</v>
      </c>
      <c r="C29" t="s">
        <v>195</v>
      </c>
      <c r="D29" s="56">
        <v>382058</v>
      </c>
      <c r="E29" s="46"/>
      <c r="F29" s="45"/>
      <c r="G29" s="45"/>
      <c r="H29" s="45"/>
      <c r="I29" s="45"/>
      <c r="J29" s="45"/>
      <c r="K29" s="45"/>
      <c r="L29" s="47"/>
      <c r="M29" s="47"/>
      <c r="N29" s="32"/>
      <c r="O29" s="32"/>
      <c r="P29" s="35"/>
      <c r="Q29" s="35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15">
      <c r="A30" s="32">
        <v>27</v>
      </c>
      <c r="B30" s="56" t="s">
        <v>184</v>
      </c>
      <c r="C30" t="s">
        <v>195</v>
      </c>
      <c r="D30" s="56">
        <v>626532</v>
      </c>
      <c r="E30" s="46"/>
      <c r="F30" s="45"/>
      <c r="G30" s="45"/>
      <c r="H30" s="47"/>
      <c r="I30" s="45"/>
      <c r="J30" s="45"/>
      <c r="K30" s="45"/>
      <c r="L30" s="47"/>
      <c r="M30" s="47"/>
      <c r="N30" s="32"/>
      <c r="O30" s="32"/>
      <c r="P30" s="35"/>
      <c r="Q30" s="35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15">
      <c r="A31" s="32">
        <v>28</v>
      </c>
      <c r="B31" s="56" t="s">
        <v>191</v>
      </c>
      <c r="C31" t="s">
        <v>195</v>
      </c>
      <c r="D31" s="56">
        <v>601838</v>
      </c>
      <c r="E31" s="46"/>
      <c r="F31" s="45"/>
      <c r="G31" s="45"/>
      <c r="H31" s="47"/>
      <c r="I31" s="45"/>
      <c r="J31" s="45"/>
      <c r="K31" s="45"/>
      <c r="L31" s="47"/>
      <c r="M31" s="47"/>
      <c r="N31" s="32"/>
      <c r="O31" s="32"/>
      <c r="P31" s="35"/>
      <c r="Q31" s="35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15">
      <c r="A32" s="32">
        <v>29</v>
      </c>
      <c r="B32" s="56" t="s">
        <v>182</v>
      </c>
      <c r="C32" t="s">
        <v>195</v>
      </c>
      <c r="D32" s="56">
        <v>396580</v>
      </c>
      <c r="E32" s="46"/>
      <c r="F32" s="45"/>
      <c r="G32" s="45"/>
      <c r="H32" s="47"/>
      <c r="I32" s="45"/>
      <c r="J32" s="45"/>
      <c r="K32" s="45"/>
      <c r="L32" s="47"/>
      <c r="M32" s="47"/>
      <c r="N32" s="32"/>
      <c r="O32" s="32"/>
      <c r="P32" s="35"/>
      <c r="Q32" s="35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15">
      <c r="A33" s="32">
        <v>30</v>
      </c>
      <c r="B33" s="56" t="s">
        <v>183</v>
      </c>
      <c r="C33" t="s">
        <v>195</v>
      </c>
      <c r="D33" s="56">
        <v>602602</v>
      </c>
      <c r="E33" s="46"/>
      <c r="F33" s="45"/>
      <c r="G33" s="45"/>
      <c r="H33" s="47"/>
      <c r="I33" s="47"/>
      <c r="J33" s="45"/>
      <c r="K33" s="45"/>
      <c r="L33" s="47"/>
      <c r="M33" s="47"/>
      <c r="N33" s="32"/>
      <c r="O33" s="32"/>
      <c r="P33" s="35"/>
      <c r="Q33" s="35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</row>
    <row r="34" spans="1:52" x14ac:dyDescent="0.4">
      <c r="A34" s="32">
        <v>31</v>
      </c>
      <c r="B34" s="29"/>
      <c r="C34" s="29"/>
      <c r="D34" s="29"/>
      <c r="E34" s="46"/>
      <c r="F34" s="45"/>
      <c r="G34" s="45"/>
      <c r="H34" s="47"/>
      <c r="I34" s="47"/>
      <c r="J34" s="45"/>
      <c r="K34" s="45"/>
      <c r="L34" s="47"/>
      <c r="M34" s="47"/>
      <c r="N34" s="32"/>
      <c r="O34" s="32"/>
      <c r="P34" s="35"/>
      <c r="Q34" s="35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4">
      <c r="A35" s="32">
        <v>32</v>
      </c>
      <c r="B35" s="29"/>
      <c r="C35" s="29"/>
      <c r="D35" s="29"/>
      <c r="E35" s="46"/>
      <c r="F35" s="45"/>
      <c r="G35" s="45"/>
      <c r="H35" s="47"/>
      <c r="I35" s="47"/>
      <c r="J35" s="45"/>
      <c r="K35" s="45"/>
      <c r="L35" s="47"/>
      <c r="M35" s="47"/>
      <c r="N35" s="32"/>
      <c r="O35" s="32"/>
      <c r="P35" s="35"/>
      <c r="Q35" s="35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4">
      <c r="A36" s="32">
        <v>33</v>
      </c>
      <c r="B36" s="29"/>
      <c r="C36" s="29"/>
      <c r="D36" s="29"/>
      <c r="E36" s="46"/>
      <c r="F36" s="45"/>
      <c r="G36" s="48"/>
      <c r="H36" s="48"/>
      <c r="I36" s="48"/>
      <c r="J36" s="45"/>
      <c r="K36" s="45"/>
      <c r="L36" s="48"/>
      <c r="M36" s="48"/>
      <c r="N36" s="32"/>
      <c r="O36" s="32"/>
      <c r="P36" s="35"/>
      <c r="Q36" s="35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33"/>
      <c r="AI36" s="33"/>
      <c r="AJ36" s="33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</row>
    <row r="37" spans="1:52" x14ac:dyDescent="0.4">
      <c r="A37" s="32">
        <v>34</v>
      </c>
      <c r="B37" s="29"/>
      <c r="C37" s="29"/>
      <c r="D37" s="29"/>
      <c r="E37" s="46"/>
      <c r="F37" s="45"/>
      <c r="G37" s="48"/>
      <c r="H37" s="48"/>
      <c r="I37" s="48"/>
      <c r="J37" s="45"/>
      <c r="K37" s="45"/>
      <c r="L37" s="48"/>
      <c r="M37" s="48"/>
      <c r="N37" s="32"/>
      <c r="O37" s="32"/>
      <c r="P37" s="35"/>
      <c r="Q37" s="35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33"/>
      <c r="AI37" s="33"/>
      <c r="AJ37" s="33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</row>
    <row r="38" spans="1:52" x14ac:dyDescent="0.4">
      <c r="A38" s="32">
        <v>35</v>
      </c>
      <c r="B38" s="29"/>
      <c r="C38" s="29"/>
      <c r="D38" s="29"/>
      <c r="E38" s="46"/>
      <c r="F38" s="45"/>
      <c r="G38" s="48"/>
      <c r="H38" s="48"/>
      <c r="I38" s="48"/>
      <c r="J38" s="45"/>
      <c r="K38" s="45"/>
      <c r="L38" s="48"/>
      <c r="M38" s="48"/>
      <c r="N38" s="32"/>
      <c r="O38" s="32"/>
      <c r="P38" s="35"/>
      <c r="Q38" s="35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33"/>
      <c r="AI38" s="33"/>
      <c r="AJ38" s="33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</row>
    <row r="39" spans="1:52" x14ac:dyDescent="0.4">
      <c r="A39" s="32">
        <v>36</v>
      </c>
      <c r="B39" s="29"/>
      <c r="C39" s="29"/>
      <c r="D39" s="29"/>
      <c r="E39" s="46"/>
      <c r="F39" s="48"/>
      <c r="G39" s="48"/>
      <c r="H39" s="48"/>
      <c r="I39" s="48"/>
      <c r="J39" s="45"/>
      <c r="K39" s="45"/>
      <c r="L39" s="48"/>
      <c r="M39" s="48"/>
      <c r="N39" s="32"/>
      <c r="O39" s="35"/>
      <c r="P39" s="35"/>
      <c r="Q39" s="35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33"/>
      <c r="AI39" s="33"/>
      <c r="AJ39" s="33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</row>
    <row r="40" spans="1:52" x14ac:dyDescent="0.4">
      <c r="A40" s="32">
        <v>37</v>
      </c>
      <c r="B40" s="29"/>
      <c r="C40" s="29"/>
      <c r="D40" s="29"/>
      <c r="E40" s="46"/>
      <c r="F40" s="48"/>
      <c r="G40" s="48"/>
      <c r="H40" s="48"/>
      <c r="I40" s="48"/>
      <c r="J40" s="48"/>
      <c r="K40" s="48"/>
      <c r="L40" s="48"/>
      <c r="M40" s="48"/>
      <c r="N40" s="32"/>
      <c r="O40" s="35"/>
      <c r="P40" s="35"/>
      <c r="Q40" s="35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33"/>
      <c r="AI40" s="33"/>
      <c r="AJ40" s="33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</row>
    <row r="41" spans="1:52" x14ac:dyDescent="0.4">
      <c r="A41" s="32">
        <v>38</v>
      </c>
      <c r="B41" s="29"/>
      <c r="C41" s="29"/>
      <c r="D41" s="29"/>
      <c r="E41" s="46"/>
      <c r="F41" s="48"/>
      <c r="G41" s="48"/>
      <c r="H41" s="48"/>
      <c r="I41" s="48"/>
      <c r="J41" s="48"/>
      <c r="K41" s="48"/>
      <c r="L41" s="48"/>
      <c r="M41" s="48"/>
      <c r="N41" s="32"/>
      <c r="O41" s="35"/>
      <c r="P41" s="35"/>
      <c r="Q41" s="35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33"/>
      <c r="AI41" s="33"/>
      <c r="AJ41" s="33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</row>
    <row r="42" spans="1:52" x14ac:dyDescent="0.4">
      <c r="A42" s="32">
        <v>39</v>
      </c>
      <c r="B42" s="29"/>
      <c r="C42" s="29"/>
      <c r="D42" s="29"/>
      <c r="E42" s="46"/>
      <c r="F42" s="48"/>
      <c r="G42" s="48"/>
      <c r="H42" s="48"/>
      <c r="I42" s="48"/>
      <c r="J42" s="48"/>
      <c r="K42" s="48"/>
      <c r="L42" s="48"/>
      <c r="M42" s="48"/>
      <c r="N42" s="32"/>
      <c r="O42" s="35"/>
      <c r="P42" s="35"/>
      <c r="Q42" s="35"/>
      <c r="R42" s="46"/>
      <c r="S42" s="46"/>
      <c r="T42" s="49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33"/>
      <c r="AI42" s="33"/>
      <c r="AJ42" s="33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</row>
    <row r="43" spans="1:52" x14ac:dyDescent="0.4">
      <c r="A43" s="32">
        <v>40</v>
      </c>
      <c r="B43" s="29"/>
      <c r="C43" s="29"/>
      <c r="D43" s="29"/>
      <c r="E43" s="46"/>
      <c r="F43" s="48"/>
      <c r="G43" s="48"/>
      <c r="H43" s="48"/>
      <c r="I43" s="48"/>
      <c r="J43" s="48"/>
      <c r="K43" s="48"/>
      <c r="L43" s="48"/>
      <c r="M43" s="48"/>
      <c r="N43" s="32"/>
      <c r="O43" s="35"/>
      <c r="P43" s="35"/>
      <c r="Q43" s="35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33"/>
      <c r="AI43" s="33"/>
      <c r="AJ43" s="33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</row>
    <row r="44" spans="1:52" x14ac:dyDescent="0.4">
      <c r="A44" s="32">
        <v>41</v>
      </c>
      <c r="B44" s="29"/>
      <c r="C44" s="29"/>
      <c r="D44" s="29"/>
      <c r="E44" s="46"/>
      <c r="F44" s="48"/>
      <c r="G44" s="48"/>
      <c r="H44" s="48"/>
      <c r="I44" s="48"/>
      <c r="J44" s="48"/>
      <c r="K44" s="48"/>
      <c r="L44" s="48"/>
      <c r="M44" s="48"/>
      <c r="N44" s="32"/>
      <c r="O44" s="35"/>
      <c r="P44" s="35"/>
      <c r="Q44" s="35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33"/>
      <c r="AI44" s="33"/>
      <c r="AJ44" s="33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</row>
    <row r="45" spans="1:52" x14ac:dyDescent="0.4">
      <c r="A45" s="32">
        <v>42</v>
      </c>
      <c r="B45" s="29" t="s">
        <v>161</v>
      </c>
      <c r="C45" s="29" t="s">
        <v>161</v>
      </c>
      <c r="D45" s="29" t="s">
        <v>161</v>
      </c>
      <c r="E45" s="46"/>
      <c r="F45" s="48"/>
      <c r="G45" s="48"/>
      <c r="H45" s="48"/>
      <c r="I45" s="48"/>
      <c r="J45" s="48"/>
      <c r="K45" s="48"/>
      <c r="L45" s="48"/>
      <c r="M45" s="48"/>
      <c r="N45" s="32"/>
      <c r="O45" s="35"/>
      <c r="P45" s="35"/>
      <c r="Q45" s="35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33"/>
      <c r="AI45" s="33"/>
      <c r="AJ45" s="33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</row>
    <row r="46" spans="1:52" x14ac:dyDescent="0.4">
      <c r="A46" s="32">
        <v>43</v>
      </c>
      <c r="B46" s="29" t="s">
        <v>161</v>
      </c>
      <c r="C46" s="29" t="s">
        <v>161</v>
      </c>
      <c r="D46" s="29" t="s">
        <v>161</v>
      </c>
      <c r="E46" s="46"/>
      <c r="F46" s="48"/>
      <c r="G46" s="48"/>
      <c r="H46" s="48"/>
      <c r="I46" s="48"/>
      <c r="J46" s="48"/>
      <c r="K46" s="48"/>
      <c r="L46" s="48"/>
      <c r="M46" s="48"/>
      <c r="N46" s="32"/>
      <c r="O46" s="35"/>
      <c r="P46" s="35"/>
      <c r="Q46" s="35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33"/>
      <c r="AI46" s="33"/>
      <c r="AJ46" s="33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</row>
    <row r="47" spans="1:52" x14ac:dyDescent="0.4">
      <c r="A47" s="32">
        <v>44</v>
      </c>
      <c r="B47" s="29" t="s">
        <v>161</v>
      </c>
      <c r="C47" s="29" t="s">
        <v>161</v>
      </c>
      <c r="D47" s="29" t="s">
        <v>161</v>
      </c>
      <c r="E47" s="46"/>
      <c r="F47" s="48"/>
      <c r="G47" s="48"/>
      <c r="H47" s="48"/>
      <c r="I47" s="48"/>
      <c r="J47" s="48"/>
      <c r="K47" s="48"/>
      <c r="L47" s="48"/>
      <c r="M47" s="48"/>
      <c r="N47" s="32"/>
      <c r="O47" s="35"/>
      <c r="P47" s="35"/>
      <c r="Q47" s="35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33"/>
      <c r="AI47" s="33"/>
      <c r="AJ47" s="33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</row>
    <row r="48" spans="1:52" x14ac:dyDescent="0.4">
      <c r="A48" s="32">
        <v>45</v>
      </c>
      <c r="B48" s="29" t="s">
        <v>161</v>
      </c>
      <c r="C48" s="29" t="s">
        <v>161</v>
      </c>
      <c r="D48" s="29" t="s">
        <v>161</v>
      </c>
      <c r="E48" s="46"/>
      <c r="F48" s="48"/>
      <c r="G48" s="48"/>
      <c r="H48" s="48"/>
      <c r="I48" s="48"/>
      <c r="J48" s="48"/>
      <c r="K48" s="48"/>
      <c r="L48" s="48"/>
      <c r="M48" s="48"/>
      <c r="N48" s="32"/>
      <c r="O48" s="35"/>
      <c r="P48" s="35"/>
      <c r="Q48" s="35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33"/>
      <c r="AI48" s="33"/>
      <c r="AJ48" s="33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</row>
    <row r="49" spans="1:52" x14ac:dyDescent="0.4">
      <c r="A49" s="32">
        <v>46</v>
      </c>
      <c r="B49" s="29" t="s">
        <v>161</v>
      </c>
      <c r="C49" s="29" t="s">
        <v>161</v>
      </c>
      <c r="D49" s="29" t="s">
        <v>161</v>
      </c>
      <c r="E49" s="46"/>
      <c r="F49" s="48"/>
      <c r="G49" s="48"/>
      <c r="H49" s="48"/>
      <c r="I49" s="48"/>
      <c r="J49" s="48"/>
      <c r="K49" s="48"/>
      <c r="L49" s="48"/>
      <c r="M49" s="48"/>
      <c r="N49" s="32"/>
      <c r="O49" s="35"/>
      <c r="P49" s="35"/>
      <c r="Q49" s="35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33"/>
      <c r="AI49" s="33"/>
      <c r="AJ49" s="33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</row>
    <row r="50" spans="1:52" x14ac:dyDescent="0.4">
      <c r="A50" s="32">
        <v>47</v>
      </c>
      <c r="B50" s="29" t="s">
        <v>161</v>
      </c>
      <c r="C50" s="29" t="s">
        <v>161</v>
      </c>
      <c r="D50" s="29" t="s">
        <v>161</v>
      </c>
      <c r="E50" s="46"/>
      <c r="F50" s="48"/>
      <c r="G50" s="48"/>
      <c r="H50" s="48"/>
      <c r="I50" s="48"/>
      <c r="J50" s="48"/>
      <c r="K50" s="48"/>
      <c r="L50" s="48"/>
      <c r="M50" s="48"/>
      <c r="N50" s="32"/>
      <c r="O50" s="35"/>
      <c r="P50" s="35"/>
      <c r="Q50" s="35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33"/>
      <c r="AI50" s="33"/>
      <c r="AJ50" s="33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</row>
    <row r="51" spans="1:52" x14ac:dyDescent="0.4">
      <c r="A51" s="32">
        <v>48</v>
      </c>
      <c r="B51" s="29" t="s">
        <v>161</v>
      </c>
      <c r="C51" s="29" t="s">
        <v>161</v>
      </c>
      <c r="D51" s="29" t="s">
        <v>161</v>
      </c>
      <c r="E51" s="46"/>
      <c r="F51" s="48"/>
      <c r="G51" s="48"/>
      <c r="H51" s="48"/>
      <c r="I51" s="48"/>
      <c r="J51" s="48"/>
      <c r="K51" s="48"/>
      <c r="L51" s="48"/>
      <c r="M51" s="48"/>
      <c r="N51" s="32"/>
      <c r="O51" s="35"/>
      <c r="P51" s="35"/>
      <c r="Q51" s="35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33"/>
      <c r="AI51" s="33"/>
      <c r="AJ51" s="33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</row>
    <row r="52" spans="1:52" x14ac:dyDescent="0.4">
      <c r="A52" s="32">
        <v>49</v>
      </c>
      <c r="B52" s="29" t="s">
        <v>161</v>
      </c>
      <c r="C52" s="29" t="s">
        <v>161</v>
      </c>
      <c r="D52" s="29" t="s">
        <v>161</v>
      </c>
      <c r="E52" s="46"/>
      <c r="F52" s="48"/>
      <c r="G52" s="48"/>
      <c r="H52" s="48"/>
      <c r="I52" s="48"/>
      <c r="J52" s="48"/>
      <c r="K52" s="48"/>
      <c r="L52" s="48"/>
      <c r="M52" s="48"/>
      <c r="N52" s="32"/>
      <c r="O52" s="35"/>
      <c r="P52" s="35"/>
      <c r="Q52" s="35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33"/>
      <c r="AI52" s="33"/>
      <c r="AJ52" s="33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</row>
    <row r="53" spans="1:52" x14ac:dyDescent="0.4">
      <c r="A53" s="32">
        <v>50</v>
      </c>
      <c r="B53" s="29" t="s">
        <v>161</v>
      </c>
      <c r="C53" s="29" t="s">
        <v>161</v>
      </c>
      <c r="D53" s="29" t="s">
        <v>161</v>
      </c>
      <c r="E53" s="46"/>
      <c r="F53" s="48"/>
      <c r="G53" s="48"/>
      <c r="H53" s="48"/>
      <c r="I53" s="48"/>
      <c r="J53" s="48"/>
      <c r="K53" s="48"/>
      <c r="L53" s="48"/>
      <c r="M53" s="48"/>
      <c r="N53" s="32" t="str">
        <f t="shared" ref="N53" si="0">IF(B53="","",1)</f>
        <v/>
      </c>
      <c r="O53" s="35" t="str">
        <f>IF(B53="","",28-(R53+#REF!+#REF!+Z53+#REF!+#REF!+#REF!))</f>
        <v/>
      </c>
      <c r="P53" s="35"/>
      <c r="Q53" s="35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4">
      <c r="E54" s="49"/>
      <c r="F54" s="50"/>
      <c r="G54" s="50"/>
      <c r="H54" s="50"/>
      <c r="I54" s="50"/>
      <c r="J54" s="50"/>
      <c r="K54" s="50"/>
      <c r="L54" s="50"/>
      <c r="M54" s="50"/>
      <c r="N54" s="41"/>
      <c r="O54" s="42"/>
      <c r="P54" s="42"/>
      <c r="Q54" s="42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5"/>
  <sheetViews>
    <sheetView workbookViewId="0">
      <selection activeCell="F19" sqref="F19"/>
    </sheetView>
  </sheetViews>
  <sheetFormatPr defaultColWidth="8.875" defaultRowHeight="18.75" x14ac:dyDescent="0.4"/>
  <cols>
    <col min="1" max="1" width="17.125" bestFit="1" customWidth="1"/>
    <col min="2" max="2" width="13" bestFit="1" customWidth="1"/>
    <col min="3" max="3" width="13" style="3" bestFit="1" customWidth="1"/>
    <col min="4" max="4" width="13.625" customWidth="1"/>
    <col min="5" max="5" width="23.5" bestFit="1" customWidth="1"/>
    <col min="6" max="6" width="15.125" style="3" bestFit="1" customWidth="1"/>
    <col min="7" max="7" width="7.125" style="3" bestFit="1" customWidth="1"/>
    <col min="8" max="8" width="15.125" style="3" bestFit="1" customWidth="1"/>
    <col min="9" max="11" width="10.875" style="3" customWidth="1"/>
    <col min="12" max="13" width="10.125" customWidth="1"/>
  </cols>
  <sheetData>
    <row r="1" spans="1:13" x14ac:dyDescent="0.4">
      <c r="A1" s="87" t="s">
        <v>69</v>
      </c>
      <c r="B1" s="87" t="s">
        <v>70</v>
      </c>
      <c r="C1" s="87" t="s">
        <v>71</v>
      </c>
      <c r="D1" s="86" t="s">
        <v>72</v>
      </c>
      <c r="E1" s="86"/>
      <c r="F1" s="86" t="s">
        <v>73</v>
      </c>
      <c r="G1" s="86"/>
      <c r="H1" s="86"/>
      <c r="I1" s="86" t="s">
        <v>74</v>
      </c>
      <c r="J1" s="86"/>
      <c r="K1" s="86"/>
      <c r="L1" s="86"/>
      <c r="M1" s="86"/>
    </row>
    <row r="2" spans="1:13" x14ac:dyDescent="0.4">
      <c r="A2" s="88"/>
      <c r="B2" s="88"/>
      <c r="C2" s="88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">
      <c r="A3" s="17">
        <v>6</v>
      </c>
      <c r="B3" s="12" t="s">
        <v>83</v>
      </c>
      <c r="C3" s="12" t="s">
        <v>84</v>
      </c>
      <c r="D3" s="12" t="s">
        <v>85</v>
      </c>
      <c r="E3" s="12"/>
      <c r="F3" s="12" t="s">
        <v>86</v>
      </c>
      <c r="G3" s="12" t="s">
        <v>87</v>
      </c>
      <c r="H3" s="12" t="s">
        <v>88</v>
      </c>
      <c r="I3" s="15" t="s">
        <v>89</v>
      </c>
      <c r="J3" s="12">
        <v>3</v>
      </c>
      <c r="K3" s="12"/>
      <c r="L3" s="26"/>
      <c r="M3" s="26"/>
    </row>
    <row r="4" spans="1:13" x14ac:dyDescent="0.4">
      <c r="B4" s="12" t="s">
        <v>90</v>
      </c>
      <c r="C4" s="12" t="s">
        <v>91</v>
      </c>
      <c r="D4" s="12" t="s">
        <v>89</v>
      </c>
      <c r="E4" s="12" t="s">
        <v>92</v>
      </c>
      <c r="F4" s="12" t="s">
        <v>93</v>
      </c>
      <c r="G4" s="12" t="s">
        <v>86</v>
      </c>
      <c r="H4" s="12" t="s">
        <v>87</v>
      </c>
      <c r="I4" s="12" t="s">
        <v>94</v>
      </c>
      <c r="J4" s="12"/>
      <c r="K4" s="13"/>
      <c r="L4" s="13">
        <v>0</v>
      </c>
      <c r="M4" s="13"/>
    </row>
    <row r="5" spans="1:13" x14ac:dyDescent="0.4">
      <c r="B5" s="12"/>
      <c r="C5" s="12" t="s">
        <v>95</v>
      </c>
      <c r="D5" s="12"/>
      <c r="E5" s="12"/>
      <c r="F5" s="12" t="s">
        <v>93</v>
      </c>
      <c r="G5" s="12" t="s">
        <v>29</v>
      </c>
      <c r="H5" s="12" t="s">
        <v>33</v>
      </c>
      <c r="I5" s="13" t="s">
        <v>96</v>
      </c>
      <c r="J5" s="13"/>
      <c r="K5" s="13"/>
      <c r="L5" s="13">
        <v>0</v>
      </c>
      <c r="M5" s="13"/>
    </row>
    <row r="6" spans="1:13" x14ac:dyDescent="0.4">
      <c r="B6" s="12"/>
      <c r="C6" s="12" t="s">
        <v>97</v>
      </c>
      <c r="D6" s="12"/>
      <c r="E6" s="12"/>
      <c r="F6" s="12" t="s">
        <v>29</v>
      </c>
      <c r="G6" s="12" t="s">
        <v>33</v>
      </c>
      <c r="H6" s="12" t="s">
        <v>98</v>
      </c>
      <c r="I6" s="13" t="s">
        <v>99</v>
      </c>
      <c r="J6" s="13"/>
      <c r="K6" s="13"/>
      <c r="L6" s="13">
        <v>0</v>
      </c>
      <c r="M6" s="13"/>
    </row>
    <row r="7" spans="1:13" x14ac:dyDescent="0.4">
      <c r="B7" s="12"/>
      <c r="C7" s="12" t="s">
        <v>100</v>
      </c>
      <c r="D7" s="12"/>
      <c r="E7" s="12"/>
      <c r="F7" s="12" t="s">
        <v>101</v>
      </c>
      <c r="G7" s="12" t="s">
        <v>102</v>
      </c>
      <c r="H7" s="12" t="s">
        <v>103</v>
      </c>
      <c r="I7" s="12" t="s">
        <v>104</v>
      </c>
      <c r="J7" s="12"/>
      <c r="K7" s="12"/>
      <c r="L7" s="12">
        <v>0</v>
      </c>
      <c r="M7" s="12"/>
    </row>
    <row r="8" spans="1:13" x14ac:dyDescent="0.4">
      <c r="B8" s="12"/>
      <c r="C8" s="12" t="s">
        <v>105</v>
      </c>
      <c r="D8" s="12"/>
      <c r="E8" s="12"/>
      <c r="F8" s="12" t="s">
        <v>101</v>
      </c>
      <c r="G8" s="12" t="s">
        <v>106</v>
      </c>
      <c r="H8" s="12" t="s">
        <v>107</v>
      </c>
      <c r="I8" s="12"/>
      <c r="J8" s="12"/>
      <c r="K8" s="12"/>
      <c r="L8" s="26"/>
      <c r="M8" s="26"/>
    </row>
    <row r="9" spans="1:13" x14ac:dyDescent="0.4">
      <c r="B9" s="12"/>
      <c r="C9" s="12" t="s">
        <v>108</v>
      </c>
      <c r="D9" s="12"/>
      <c r="E9" s="12"/>
      <c r="F9" s="12" t="s">
        <v>109</v>
      </c>
      <c r="G9" s="12" t="s">
        <v>110</v>
      </c>
      <c r="H9" s="12" t="s">
        <v>111</v>
      </c>
      <c r="I9" s="12"/>
      <c r="J9" s="12"/>
      <c r="K9" s="12"/>
      <c r="L9" s="26"/>
      <c r="M9" s="26"/>
    </row>
    <row r="10" spans="1:13" x14ac:dyDescent="0.4">
      <c r="B10" s="12"/>
      <c r="C10" s="12" t="s">
        <v>112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">
      <c r="B11" s="12"/>
      <c r="C11" s="12" t="s">
        <v>113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">
      <c r="B12" s="12"/>
      <c r="C12" s="12" t="s">
        <v>114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">
      <c r="A13" s="5"/>
      <c r="B13" s="8"/>
    </row>
    <row r="16" spans="1:13" x14ac:dyDescent="0.4">
      <c r="A16" s="5"/>
    </row>
    <row r="19" spans="2:4" x14ac:dyDescent="0.4">
      <c r="D19" s="3"/>
    </row>
    <row r="20" spans="2:4" x14ac:dyDescent="0.4">
      <c r="B20" s="5"/>
      <c r="D20" s="5"/>
    </row>
    <row r="21" spans="2:4" x14ac:dyDescent="0.4">
      <c r="B21" s="5"/>
      <c r="D21" s="3"/>
    </row>
    <row r="22" spans="2:4" x14ac:dyDescent="0.4">
      <c r="B22" s="5"/>
      <c r="D22" s="3"/>
    </row>
    <row r="23" spans="2:4" x14ac:dyDescent="0.4">
      <c r="B23" s="5"/>
    </row>
    <row r="24" spans="2:4" x14ac:dyDescent="0.4">
      <c r="B24" s="5"/>
      <c r="D24" s="3"/>
    </row>
    <row r="25" spans="2:4" x14ac:dyDescent="0.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11"/>
  <sheetViews>
    <sheetView workbookViewId="0">
      <selection activeCell="A10" sqref="A10"/>
    </sheetView>
  </sheetViews>
  <sheetFormatPr defaultColWidth="8.875" defaultRowHeight="18.75" x14ac:dyDescent="0.4"/>
  <cols>
    <col min="1" max="1" width="59.625" bestFit="1" customWidth="1"/>
  </cols>
  <sheetData>
    <row r="1" spans="1:1" x14ac:dyDescent="0.4">
      <c r="A1" s="1" t="s">
        <v>162</v>
      </c>
    </row>
    <row r="2" spans="1:1" x14ac:dyDescent="0.4">
      <c r="A2" s="14"/>
    </row>
    <row r="3" spans="1:1" x14ac:dyDescent="0.4">
      <c r="A3" s="14"/>
    </row>
    <row r="4" spans="1:1" x14ac:dyDescent="0.4">
      <c r="A4" s="14"/>
    </row>
    <row r="5" spans="1:1" x14ac:dyDescent="0.4">
      <c r="A5" s="14"/>
    </row>
    <row r="6" spans="1:1" x14ac:dyDescent="0.4">
      <c r="A6" s="14"/>
    </row>
    <row r="7" spans="1:1" x14ac:dyDescent="0.4">
      <c r="A7" s="14"/>
    </row>
    <row r="8" spans="1:1" x14ac:dyDescent="0.4">
      <c r="A8" s="14"/>
    </row>
    <row r="9" spans="1:1" x14ac:dyDescent="0.4">
      <c r="A9" s="14"/>
    </row>
    <row r="10" spans="1:1" x14ac:dyDescent="0.4">
      <c r="A10" s="14"/>
    </row>
    <row r="11" spans="1:1" x14ac:dyDescent="0.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1b40c7f0-dfd4-4b5e-86b7-1abfb68fa9af"/>
    <ds:schemaRef ds:uri="67bf44db-e845-4fc5-acb8-f64143829d10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kango</cp:lastModifiedBy>
  <cp:revision/>
  <cp:lastPrinted>2025-07-17T04:01:36Z</cp:lastPrinted>
  <dcterms:created xsi:type="dcterms:W3CDTF">2021-11-08T06:59:49Z</dcterms:created>
  <dcterms:modified xsi:type="dcterms:W3CDTF">2025-08-15T03:23:19Z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