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3A150156-4A7C-4C16-BCCF-A0981E5A9916}" xr6:coauthVersionLast="47" xr6:coauthVersionMax="47" xr10:uidLastSave="{00000000-0000-0000-0000-000000000000}"/>
  <bookViews>
    <workbookView xWindow="-108" yWindow="-108" windowWidth="23256" windowHeight="148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Q49" i="13"/>
  <c r="P48" i="13"/>
  <c r="P46" i="13"/>
  <c r="P47" i="13"/>
  <c r="Q48" i="13"/>
  <c r="Q46" i="13"/>
  <c r="Q47" i="13"/>
  <c r="P50" i="13"/>
  <c r="Q50" i="13"/>
  <c r="P44" i="13"/>
  <c r="Q44" i="13"/>
  <c r="P45" i="13"/>
  <c r="Q45" i="13"/>
</calcChain>
</file>

<file path=xl/sharedStrings.xml><?xml version="1.0" encoding="utf-8"?>
<sst xmlns="http://schemas.openxmlformats.org/spreadsheetml/2006/main" count="420" uniqueCount="216">
  <si>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</si>
  <si>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</si>
  <si>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</si>
  <si>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</si>
  <si>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</si>
  <si>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</si>
  <si>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</si>
  <si>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</si>
  <si>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</si>
  <si>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</si>
  <si>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</si>
  <si>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</si>
  <si>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</si>
  <si>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</si>
  <si>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</si>
  <si>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</si>
  <si>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</si>
  <si>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</si>
  <si>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</si>
  <si>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</si>
  <si>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</si>
  <si>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</si>
  <si>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</si>
  <si>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</si>
  <si>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</si>
  <si>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</si>
  <si>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</si>
  <si>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</si>
  <si>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</si>
  <si>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</si>
  <si>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</si>
  <si>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</si>
  <si>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</si>
  <si>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</si>
  <si>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</si>
  <si>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</si>
  <si>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</si>
  <si>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</si>
  <si>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</si>
  <si>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</si>
  <si>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</si>
  <si>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</si>
  <si>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</si>
  <si>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</si>
  <si>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</si>
  <si>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</si>
  <si>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</si>
  <si>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</si>
  <si>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</si>
  <si>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</si>
  <si>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</si>
  <si>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</si>
  <si>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</si>
  <si>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</si>
  <si>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</si>
  <si>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</si>
  <si>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</si>
  <si>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</si>
  <si>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</si>
  <si>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</si>
  <si>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</si>
  <si>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</si>
  <si>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</si>
  <si>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</si>
  <si>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</si>
  <si>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</si>
  <si>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</si>
  <si>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</si>
  <si>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</si>
  <si>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</si>
  <si>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</si>
  <si>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</si>
  <si>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</si>
  <si>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</si>
  <si>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</si>
  <si>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</si>
  <si>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</si>
  <si>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</si>
  <si>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</si>
  <si>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</si>
  <si>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</si>
  <si>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</si>
  <si>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</si>
  <si>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</si>
  <si>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</si>
  <si>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</si>
  <si>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</si>
  <si>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</si>
  <si>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</si>
  <si>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</si>
  <si>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</si>
  <si>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</si>
  <si>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</si>
  <si>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</si>
  <si>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</si>
  <si>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</si>
  <si>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</si>
  <si>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</si>
  <si>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</si>
  <si>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</si>
  <si>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</si>
  <si>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</si>
  <si>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</si>
  <si>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</si>
  <si>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</si>
  <si>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</si>
  <si>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</si>
  <si>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</si>
  <si>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</si>
  <si>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</si>
  <si>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</si>
  <si>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</si>
  <si>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</si>
  <si>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</si>
  <si>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</si>
  <si>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</si>
  <si>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</si>
  <si>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</si>
  <si>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</si>
  <si>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</si>
  <si>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</si>
  <si>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</si>
  <si>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</si>
  <si>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</si>
  <si>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</si>
  <si>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</si>
  <si>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</si>
  <si>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</si>
  <si>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</si>
  <si>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</si>
  <si>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</si>
  <si>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</si>
  <si>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</si>
  <si>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</si>
  <si>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</si>
  <si>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</si>
  <si>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</si>
  <si>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</si>
  <si>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</si>
  <si>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</si>
  <si>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</si>
  <si>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</si>
  <si>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</si>
  <si>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</si>
  <si>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</si>
  <si>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</si>
  <si>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</si>
  <si>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</si>
  <si>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</si>
  <si>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看護師</t>
    <rPh sb="0" eb="3">
      <t>カンゴシ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</si>
  <si>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</si>
  <si>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</si>
  <si>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</si>
  <si>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</si>
  <si>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</si>
  <si>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</si>
  <si>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</si>
  <si>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</si>
  <si>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</si>
  <si>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</si>
  <si>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</si>
  <si>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</si>
  <si>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</si>
  <si>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</si>
  <si>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</si>
  <si>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</si>
  <si>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</si>
  <si>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</si>
  <si>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</si>
  <si>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</si>
  <si>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副師長</t>
    <rPh sb="0" eb="3">
      <t>フクシチョウ</t>
    </rPh>
    <phoneticPr fontId="1"/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</si>
  <si>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</si>
  <si>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</si>
  <si>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</si>
  <si>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</si>
  <si>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</si>
  <si>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</si>
  <si>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</si>
  <si>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</si>
  <si>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</si>
  <si>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</si>
  <si>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</si>
  <si>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</si>
  <si>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</si>
  <si>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</si>
  <si>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</si>
  <si>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</si>
  <si>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</si>
  <si>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</si>
  <si>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</si>
  <si>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</si>
  <si>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</si>
  <si>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師長代行ができるスタッフ</t>
    <rPh sb="0" eb="4">
      <t>シチョウダイコウ</t>
    </rPh>
    <phoneticPr fontId="1"/>
  </si>
  <si>
    <t>土日休日に代行ができるスタッフ</t>
    <rPh sb="0" eb="2">
      <t>ドニチ</t>
    </rPh>
    <rPh sb="2" eb="4">
      <t>キュウジツ</t>
    </rPh>
    <rPh sb="5" eb="7">
      <t>ダイコウ</t>
    </rPh>
    <phoneticPr fontId="1"/>
  </si>
  <si>
    <t>日,N</t>
    <rPh sb="0" eb="1">
      <t>ニチ</t>
    </rPh>
    <phoneticPr fontId="1"/>
  </si>
  <si>
    <t>師長代行</t>
    <rPh sb="0" eb="4">
      <t>シチョウダイコウ</t>
    </rPh>
    <phoneticPr fontId="1"/>
  </si>
  <si>
    <t>平日代行</t>
    <rPh sb="0" eb="4">
      <t>ヘイジツダイコウ</t>
    </rPh>
    <phoneticPr fontId="1"/>
  </si>
  <si>
    <t>新人や異動などで自立前のスタッフ</t>
    <rPh sb="0" eb="2">
      <t>シンジン</t>
    </rPh>
    <rPh sb="3" eb="5">
      <t>イドウ</t>
    </rPh>
    <rPh sb="8" eb="10">
      <t>ジリツ</t>
    </rPh>
    <rPh sb="10" eb="11">
      <t>マエ</t>
    </rPh>
    <phoneticPr fontId="1"/>
  </si>
  <si>
    <t>Aチーム</t>
    <phoneticPr fontId="1"/>
  </si>
  <si>
    <t>J,S</t>
    <phoneticPr fontId="1"/>
  </si>
  <si>
    <t>夜勤●を付けたスタッフの合計人数</t>
    <rPh sb="0" eb="2">
      <t>ヤキン</t>
    </rPh>
    <rPh sb="4" eb="5">
      <t>ツ</t>
    </rPh>
    <rPh sb="12" eb="16">
      <t>ゴウケイニンズウ</t>
    </rPh>
    <phoneticPr fontId="1"/>
  </si>
  <si>
    <t>N,J</t>
    <phoneticPr fontId="1"/>
  </si>
  <si>
    <t>夜勤リーダー</t>
    <rPh sb="0" eb="2">
      <t>ヤキン</t>
    </rPh>
    <phoneticPr fontId="1"/>
  </si>
  <si>
    <t>夜勤のリーダーができるスタッフ</t>
    <rPh sb="0" eb="2">
      <t>ヤキン</t>
    </rPh>
    <phoneticPr fontId="1"/>
  </si>
  <si>
    <t>日勤のリーダーができるスタッフ</t>
    <rPh sb="0" eb="2">
      <t>ニッキン</t>
    </rPh>
    <phoneticPr fontId="1"/>
  </si>
  <si>
    <t>日勤リーダー</t>
    <rPh sb="0" eb="2">
      <t>ニッキン</t>
    </rPh>
    <phoneticPr fontId="1"/>
  </si>
  <si>
    <t>Aチーム
（新人含む）</t>
    <rPh sb="6" eb="8">
      <t>シンジン</t>
    </rPh>
    <rPh sb="8" eb="9">
      <t>フク</t>
    </rPh>
    <phoneticPr fontId="1"/>
  </si>
  <si>
    <t>Bチーム
（新人含む）</t>
    <phoneticPr fontId="1"/>
  </si>
  <si>
    <t>Cチーム
（新人含む）</t>
    <phoneticPr fontId="1"/>
  </si>
  <si>
    <t>Aチーム</t>
  </si>
  <si>
    <t>Bチーム</t>
  </si>
  <si>
    <t>Cチーム</t>
  </si>
  <si>
    <t>Bチーム</t>
    <phoneticPr fontId="1"/>
  </si>
  <si>
    <t>Cチーム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</si>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</sst>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W8"/>
  <sheetViews>
    <sheetView tabSelected="1" zoomScaleNormal="100" workbookViewId="0">
      <selection activeCell="AL8" sqref="AL8:AO8"/>
    </sheetView>
  </sheetViews>
  <sheetFormatPr defaultColWidth="9" defaultRowHeight="18" x14ac:dyDescent="0.45"/>
  <cols>
    <col min="1" max="1" width="13" style="4" bestFit="1" customWidth="1"/>
    <col min="2" max="13" width="4.3984375" style="4" customWidth="1"/>
    <col min="14" max="45" width="4.296875" style="4" customWidth="1"/>
    <col min="46" max="49" width="4.296875" style="23" customWidth="1"/>
    <col min="50" max="16384" width="9" style="4"/>
  </cols>
  <sheetData>
    <row r="1" spans="1:49" s="22" customFormat="1" ht="38.25" customHeight="1" x14ac:dyDescent="0.45">
      <c r="A1" s="21" t="s">
        <v>107</v>
      </c>
      <c r="B1" s="48" t="s">
        <v>108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53" t="s">
        <v>195</v>
      </c>
      <c r="O1" s="54"/>
      <c r="P1" s="54"/>
      <c r="Q1" s="55"/>
      <c r="R1" s="56" t="s">
        <v>196</v>
      </c>
      <c r="S1" s="57"/>
      <c r="T1" s="57"/>
      <c r="U1" s="57"/>
      <c r="V1" s="56" t="s">
        <v>202</v>
      </c>
      <c r="W1" s="57"/>
      <c r="X1" s="57"/>
      <c r="Y1" s="57"/>
      <c r="Z1" s="49" t="s">
        <v>205</v>
      </c>
      <c r="AA1" s="50"/>
      <c r="AB1" s="50"/>
      <c r="AC1" s="51"/>
      <c r="AD1" s="49" t="s">
        <v>209</v>
      </c>
      <c r="AE1" s="50"/>
      <c r="AF1" s="50"/>
      <c r="AG1" s="51"/>
      <c r="AH1" s="49" t="s">
        <v>210</v>
      </c>
      <c r="AI1" s="50"/>
      <c r="AJ1" s="50"/>
      <c r="AK1" s="51"/>
      <c r="AL1" s="49" t="s">
        <v>211</v>
      </c>
      <c r="AM1" s="50"/>
      <c r="AN1" s="50"/>
      <c r="AO1" s="51"/>
      <c r="AP1" s="52" t="s">
        <v>110</v>
      </c>
      <c r="AQ1" s="52"/>
      <c r="AR1" s="52"/>
      <c r="AS1" s="52"/>
      <c r="AT1" s="48" t="s">
        <v>111</v>
      </c>
      <c r="AU1" s="48"/>
      <c r="AV1" s="48"/>
      <c r="AW1" s="48"/>
    </row>
    <row r="2" spans="1:49" s="23" customFormat="1" x14ac:dyDescent="0.45">
      <c r="A2" s="17" t="s">
        <v>77</v>
      </c>
      <c r="B2" s="42" t="s">
        <v>12</v>
      </c>
      <c r="C2" s="43"/>
      <c r="D2" s="43"/>
      <c r="E2" s="44"/>
      <c r="F2" s="42" t="s">
        <v>16</v>
      </c>
      <c r="G2" s="43"/>
      <c r="H2" s="43"/>
      <c r="I2" s="44"/>
      <c r="J2" s="42" t="s">
        <v>39</v>
      </c>
      <c r="K2" s="43"/>
      <c r="L2" s="43"/>
      <c r="M2" s="44"/>
      <c r="N2" s="42" t="s">
        <v>194</v>
      </c>
      <c r="O2" s="43"/>
      <c r="P2" s="43"/>
      <c r="Q2" s="44"/>
      <c r="R2" s="42" t="s">
        <v>194</v>
      </c>
      <c r="S2" s="43"/>
      <c r="T2" s="43"/>
      <c r="U2" s="44"/>
      <c r="V2" s="42" t="s">
        <v>201</v>
      </c>
      <c r="W2" s="43"/>
      <c r="X2" s="43"/>
      <c r="Y2" s="44"/>
      <c r="Z2" s="42" t="s">
        <v>201</v>
      </c>
      <c r="AA2" s="43"/>
      <c r="AB2" s="43"/>
      <c r="AC2" s="44"/>
      <c r="AD2" s="42" t="s">
        <v>201</v>
      </c>
      <c r="AE2" s="43"/>
      <c r="AF2" s="43"/>
      <c r="AG2" s="44"/>
      <c r="AH2" s="42" t="s">
        <v>201</v>
      </c>
      <c r="AI2" s="43"/>
      <c r="AJ2" s="43"/>
      <c r="AK2" s="44"/>
      <c r="AL2" s="42" t="s">
        <v>201</v>
      </c>
      <c r="AM2" s="43"/>
      <c r="AN2" s="43"/>
      <c r="AO2" s="44"/>
      <c r="AP2" s="42" t="s">
        <v>199</v>
      </c>
      <c r="AQ2" s="43"/>
      <c r="AR2" s="43"/>
      <c r="AS2" s="44"/>
      <c r="AT2" s="42" t="s">
        <v>199</v>
      </c>
      <c r="AU2" s="43"/>
      <c r="AV2" s="43"/>
      <c r="AW2" s="44"/>
    </row>
    <row r="3" spans="1:49" s="23" customFormat="1" x14ac:dyDescent="0.45">
      <c r="A3" s="17" t="s">
        <v>114</v>
      </c>
      <c r="B3" s="42" t="s">
        <v>115</v>
      </c>
      <c r="C3" s="43"/>
      <c r="D3" s="43"/>
      <c r="E3" s="44"/>
      <c r="F3" s="42" t="s">
        <v>115</v>
      </c>
      <c r="G3" s="43"/>
      <c r="H3" s="43"/>
      <c r="I3" s="44"/>
      <c r="J3" s="42" t="s">
        <v>115</v>
      </c>
      <c r="K3" s="43"/>
      <c r="L3" s="43"/>
      <c r="M3" s="44"/>
      <c r="N3" s="42" t="s">
        <v>115</v>
      </c>
      <c r="O3" s="43"/>
      <c r="P3" s="43"/>
      <c r="Q3" s="44"/>
      <c r="R3" s="42" t="s">
        <v>115</v>
      </c>
      <c r="S3" s="43"/>
      <c r="T3" s="43"/>
      <c r="U3" s="44"/>
      <c r="V3" s="42" t="s">
        <v>115</v>
      </c>
      <c r="W3" s="43"/>
      <c r="X3" s="43"/>
      <c r="Y3" s="44"/>
      <c r="Z3" s="42" t="s">
        <v>115</v>
      </c>
      <c r="AA3" s="43"/>
      <c r="AB3" s="43"/>
      <c r="AC3" s="44"/>
      <c r="AD3" s="42" t="s">
        <v>115</v>
      </c>
      <c r="AE3" s="43"/>
      <c r="AF3" s="43"/>
      <c r="AG3" s="44"/>
      <c r="AH3" s="42" t="s">
        <v>115</v>
      </c>
      <c r="AI3" s="43"/>
      <c r="AJ3" s="43"/>
      <c r="AK3" s="44"/>
      <c r="AL3" s="42" t="s">
        <v>115</v>
      </c>
      <c r="AM3" s="43"/>
      <c r="AN3" s="43"/>
      <c r="AO3" s="44"/>
      <c r="AP3" s="42" t="s">
        <v>115</v>
      </c>
      <c r="AQ3" s="43"/>
      <c r="AR3" s="43"/>
      <c r="AS3" s="44"/>
      <c r="AT3" s="42" t="s">
        <v>115</v>
      </c>
      <c r="AU3" s="43"/>
      <c r="AV3" s="43"/>
      <c r="AW3" s="44"/>
    </row>
    <row r="4" spans="1:49" s="23" customFormat="1" ht="36" x14ac:dyDescent="0.45">
      <c r="A4" s="17" t="s">
        <v>117</v>
      </c>
      <c r="B4" s="21" t="s">
        <v>118</v>
      </c>
      <c r="C4" s="21" t="s">
        <v>119</v>
      </c>
      <c r="D4" s="21" t="s">
        <v>120</v>
      </c>
      <c r="E4" s="21" t="s">
        <v>121</v>
      </c>
      <c r="F4" s="21" t="s">
        <v>118</v>
      </c>
      <c r="G4" s="21" t="s">
        <v>119</v>
      </c>
      <c r="H4" s="21" t="s">
        <v>120</v>
      </c>
      <c r="I4" s="21" t="s">
        <v>121</v>
      </c>
      <c r="J4" s="21" t="s">
        <v>118</v>
      </c>
      <c r="K4" s="21" t="s">
        <v>119</v>
      </c>
      <c r="L4" s="21" t="s">
        <v>120</v>
      </c>
      <c r="M4" s="21" t="s">
        <v>121</v>
      </c>
      <c r="N4" s="21" t="s">
        <v>118</v>
      </c>
      <c r="O4" s="21" t="s">
        <v>119</v>
      </c>
      <c r="P4" s="21" t="s">
        <v>120</v>
      </c>
      <c r="Q4" s="21" t="s">
        <v>121</v>
      </c>
      <c r="R4" s="21" t="s">
        <v>118</v>
      </c>
      <c r="S4" s="21" t="s">
        <v>119</v>
      </c>
      <c r="T4" s="21" t="s">
        <v>120</v>
      </c>
      <c r="U4" s="21" t="s">
        <v>121</v>
      </c>
      <c r="V4" s="21" t="s">
        <v>118</v>
      </c>
      <c r="W4" s="21" t="s">
        <v>119</v>
      </c>
      <c r="X4" s="21" t="s">
        <v>120</v>
      </c>
      <c r="Y4" s="21" t="s">
        <v>121</v>
      </c>
      <c r="Z4" s="21" t="s">
        <v>118</v>
      </c>
      <c r="AA4" s="21" t="s">
        <v>119</v>
      </c>
      <c r="AB4" s="21" t="s">
        <v>120</v>
      </c>
      <c r="AC4" s="21" t="s">
        <v>121</v>
      </c>
      <c r="AD4" s="21" t="s">
        <v>118</v>
      </c>
      <c r="AE4" s="21" t="s">
        <v>119</v>
      </c>
      <c r="AF4" s="21" t="s">
        <v>120</v>
      </c>
      <c r="AG4" s="21" t="s">
        <v>121</v>
      </c>
      <c r="AH4" s="21" t="s">
        <v>118</v>
      </c>
      <c r="AI4" s="21" t="s">
        <v>119</v>
      </c>
      <c r="AJ4" s="21" t="s">
        <v>120</v>
      </c>
      <c r="AK4" s="21" t="s">
        <v>121</v>
      </c>
      <c r="AL4" s="21" t="s">
        <v>118</v>
      </c>
      <c r="AM4" s="21" t="s">
        <v>119</v>
      </c>
      <c r="AN4" s="21" t="s">
        <v>120</v>
      </c>
      <c r="AO4" s="21" t="s">
        <v>121</v>
      </c>
      <c r="AP4" s="21" t="s">
        <v>118</v>
      </c>
      <c r="AQ4" s="21" t="s">
        <v>119</v>
      </c>
      <c r="AR4" s="21" t="s">
        <v>120</v>
      </c>
      <c r="AS4" s="21" t="s">
        <v>121</v>
      </c>
      <c r="AT4" s="21" t="s">
        <v>118</v>
      </c>
      <c r="AU4" s="21" t="s">
        <v>119</v>
      </c>
      <c r="AV4" s="21" t="s">
        <v>120</v>
      </c>
      <c r="AW4" s="21" t="s">
        <v>121</v>
      </c>
    </row>
    <row r="5" spans="1:49" x14ac:dyDescent="0.45">
      <c r="A5" s="17" t="s">
        <v>122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4</v>
      </c>
      <c r="I5" s="6"/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2</v>
      </c>
      <c r="R5" s="6">
        <v>0</v>
      </c>
      <c r="S5" s="6">
        <v>0</v>
      </c>
      <c r="T5" s="6">
        <v>1</v>
      </c>
      <c r="U5" s="6"/>
      <c r="V5" s="6">
        <v>0</v>
      </c>
      <c r="W5" s="6">
        <v>0</v>
      </c>
      <c r="X5" s="6">
        <v>1</v>
      </c>
      <c r="Y5" s="6"/>
      <c r="Z5" s="6">
        <v>0</v>
      </c>
      <c r="AA5" s="6">
        <v>0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1</v>
      </c>
      <c r="AI5" s="6">
        <v>2</v>
      </c>
      <c r="AJ5" s="6">
        <v>3</v>
      </c>
      <c r="AK5" s="6"/>
      <c r="AL5" s="6">
        <v>1</v>
      </c>
      <c r="AM5" s="6">
        <v>2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20">
        <v>4</v>
      </c>
      <c r="AU5" s="20">
        <v>4</v>
      </c>
      <c r="AV5" s="20">
        <v>4</v>
      </c>
      <c r="AW5" s="20">
        <v>5</v>
      </c>
    </row>
    <row r="6" spans="1:49" x14ac:dyDescent="0.45">
      <c r="A6" s="17" t="s">
        <v>123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4</v>
      </c>
      <c r="I6" s="6"/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1</v>
      </c>
      <c r="S6" s="6">
        <v>1</v>
      </c>
      <c r="T6" s="6">
        <v>2</v>
      </c>
      <c r="U6" s="6"/>
      <c r="V6" s="6">
        <v>1</v>
      </c>
      <c r="W6" s="6">
        <v>1</v>
      </c>
      <c r="X6" s="6">
        <v>2</v>
      </c>
      <c r="Y6" s="6"/>
      <c r="Z6" s="6">
        <v>1</v>
      </c>
      <c r="AA6" s="6">
        <v>1</v>
      </c>
      <c r="AB6" s="6">
        <v>2</v>
      </c>
      <c r="AC6" s="6"/>
      <c r="AD6" s="6">
        <v>1</v>
      </c>
      <c r="AE6" s="6">
        <v>2</v>
      </c>
      <c r="AF6" s="6">
        <v>3</v>
      </c>
      <c r="AG6" s="6"/>
      <c r="AH6" s="6">
        <v>1</v>
      </c>
      <c r="AI6" s="6">
        <v>2</v>
      </c>
      <c r="AJ6" s="6">
        <v>3</v>
      </c>
      <c r="AK6" s="6"/>
      <c r="AL6" s="6">
        <v>1</v>
      </c>
      <c r="AM6" s="6">
        <v>2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20">
        <v>4</v>
      </c>
      <c r="AU6" s="20">
        <v>4</v>
      </c>
      <c r="AV6" s="20">
        <v>4</v>
      </c>
      <c r="AW6" s="20">
        <v>5</v>
      </c>
    </row>
    <row r="7" spans="1:49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4</v>
      </c>
      <c r="I7" s="6"/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1</v>
      </c>
      <c r="S7" s="6">
        <v>1</v>
      </c>
      <c r="T7" s="6">
        <v>2</v>
      </c>
      <c r="U7" s="6"/>
      <c r="V7" s="6">
        <v>1</v>
      </c>
      <c r="W7" s="6">
        <v>1</v>
      </c>
      <c r="X7" s="6">
        <v>2</v>
      </c>
      <c r="Y7" s="6"/>
      <c r="Z7" s="6">
        <v>1</v>
      </c>
      <c r="AA7" s="6">
        <v>1</v>
      </c>
      <c r="AB7" s="6">
        <v>2</v>
      </c>
      <c r="AC7" s="6"/>
      <c r="AD7" s="6">
        <v>1</v>
      </c>
      <c r="AE7" s="6">
        <v>2</v>
      </c>
      <c r="AF7" s="6">
        <v>3</v>
      </c>
      <c r="AG7" s="6"/>
      <c r="AH7" s="6">
        <v>1</v>
      </c>
      <c r="AI7" s="6">
        <v>2</v>
      </c>
      <c r="AJ7" s="6">
        <v>3</v>
      </c>
      <c r="AK7" s="6"/>
      <c r="AL7" s="6">
        <v>1</v>
      </c>
      <c r="AM7" s="6">
        <v>2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20">
        <v>4</v>
      </c>
      <c r="AU7" s="20">
        <v>4</v>
      </c>
      <c r="AV7" s="20">
        <v>4</v>
      </c>
      <c r="AW7" s="20">
        <v>5</v>
      </c>
    </row>
    <row r="8" spans="1:49" ht="31.2" customHeight="1" x14ac:dyDescent="0.45">
      <c r="A8" s="17" t="s">
        <v>10</v>
      </c>
      <c r="B8" s="39"/>
      <c r="C8" s="40"/>
      <c r="D8" s="40"/>
      <c r="E8" s="41"/>
      <c r="F8" s="39"/>
      <c r="G8" s="40"/>
      <c r="H8" s="40"/>
      <c r="I8" s="41"/>
      <c r="J8" s="39"/>
      <c r="K8" s="40"/>
      <c r="L8" s="40"/>
      <c r="M8" s="41"/>
      <c r="N8" s="45" t="s">
        <v>192</v>
      </c>
      <c r="O8" s="46"/>
      <c r="P8" s="46"/>
      <c r="Q8" s="47"/>
      <c r="R8" s="45" t="s">
        <v>193</v>
      </c>
      <c r="S8" s="46"/>
      <c r="T8" s="46"/>
      <c r="U8" s="47"/>
      <c r="V8" s="45" t="s">
        <v>203</v>
      </c>
      <c r="W8" s="46"/>
      <c r="X8" s="46"/>
      <c r="Y8" s="47"/>
      <c r="Z8" s="45" t="s">
        <v>204</v>
      </c>
      <c r="AA8" s="46"/>
      <c r="AB8" s="46"/>
      <c r="AC8" s="47"/>
      <c r="AD8" s="45" t="s">
        <v>206</v>
      </c>
      <c r="AE8" s="46"/>
      <c r="AF8" s="46"/>
      <c r="AG8" s="47"/>
      <c r="AH8" s="45" t="s">
        <v>207</v>
      </c>
      <c r="AI8" s="46"/>
      <c r="AJ8" s="46"/>
      <c r="AK8" s="47"/>
      <c r="AL8" s="45" t="s">
        <v>208</v>
      </c>
      <c r="AM8" s="46"/>
      <c r="AN8" s="46"/>
      <c r="AO8" s="47"/>
      <c r="AP8" s="45" t="s">
        <v>197</v>
      </c>
      <c r="AQ8" s="46"/>
      <c r="AR8" s="46"/>
      <c r="AS8" s="47"/>
      <c r="AT8" s="45" t="s">
        <v>200</v>
      </c>
      <c r="AU8" s="46"/>
      <c r="AV8" s="46"/>
      <c r="AW8" s="47"/>
    </row>
  </sheetData>
  <mergeCells count="46">
    <mergeCell ref="V1:Y1"/>
    <mergeCell ref="V2:Y2"/>
    <mergeCell ref="V3:Y3"/>
    <mergeCell ref="V8:Y8"/>
    <mergeCell ref="Z1:AC1"/>
    <mergeCell ref="Z2:AC2"/>
    <mergeCell ref="Z3:AC3"/>
    <mergeCell ref="Z8:AC8"/>
    <mergeCell ref="AH1:AK1"/>
    <mergeCell ref="AH2:AK2"/>
    <mergeCell ref="AH3:AK3"/>
    <mergeCell ref="AL1:AO1"/>
    <mergeCell ref="AL2:AO2"/>
    <mergeCell ref="AH8:AK8"/>
    <mergeCell ref="AL8:AO8"/>
    <mergeCell ref="AT8:AW8"/>
    <mergeCell ref="AT3:AW3"/>
    <mergeCell ref="AT1:AW1"/>
    <mergeCell ref="AT2:AW2"/>
    <mergeCell ref="AD8:AG8"/>
    <mergeCell ref="AP8:AS8"/>
    <mergeCell ref="B1:M1"/>
    <mergeCell ref="AD1:AG1"/>
    <mergeCell ref="AP1:AS1"/>
    <mergeCell ref="N3:Q3"/>
    <mergeCell ref="AD3:AG3"/>
    <mergeCell ref="AP3:AS3"/>
    <mergeCell ref="AD2:AG2"/>
    <mergeCell ref="AP2:AS2"/>
    <mergeCell ref="N1:Q1"/>
    <mergeCell ref="B2:E2"/>
    <mergeCell ref="B3:E3"/>
    <mergeCell ref="AL3:AO3"/>
    <mergeCell ref="R1:U1"/>
    <mergeCell ref="B8:E8"/>
    <mergeCell ref="F2:I2"/>
    <mergeCell ref="F3:I3"/>
    <mergeCell ref="F8:I8"/>
    <mergeCell ref="R8:U8"/>
    <mergeCell ref="N8:Q8"/>
    <mergeCell ref="J2:M2"/>
    <mergeCell ref="J3:M3"/>
    <mergeCell ref="J8:M8"/>
    <mergeCell ref="R2:U2"/>
    <mergeCell ref="R3:U3"/>
    <mergeCell ref="N2:Q2"/>
  </mergeCells>
  <phoneticPr fontId="1"/>
  <pageMargins left="0.23622047244094491" right="0.23622047244094491" top="0.74803149606299213" bottom="0.74803149606299213" header="0.31496062992125984" footer="0.31496062992125984"/>
  <pageSetup paperSize="9" scale="60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B51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30" sqref="X30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5" width="5.796875" style="4" customWidth="1"/>
    <col min="16" max="35" width="4.8984375" style="4" customWidth="1"/>
    <col min="36" max="37" width="7" style="4" customWidth="1"/>
    <col min="38" max="38" width="22.5" style="4" customWidth="1"/>
    <col min="39" max="54" width="5.09765625" style="4" customWidth="1"/>
    <col min="55" max="16384" width="8.8984375" style="4"/>
  </cols>
  <sheetData>
    <row r="1" spans="1:54" x14ac:dyDescent="0.45">
      <c r="A1" s="61" t="s">
        <v>124</v>
      </c>
      <c r="B1" s="61" t="s">
        <v>125</v>
      </c>
      <c r="C1" s="61" t="s">
        <v>126</v>
      </c>
      <c r="D1" s="61" t="s">
        <v>127</v>
      </c>
      <c r="E1" s="66" t="s">
        <v>116</v>
      </c>
      <c r="F1" s="66" t="s">
        <v>128</v>
      </c>
      <c r="G1" s="66"/>
      <c r="H1" s="66"/>
      <c r="I1" s="66"/>
      <c r="J1" s="66"/>
      <c r="K1" s="66"/>
      <c r="L1" s="66"/>
      <c r="M1" s="66"/>
      <c r="N1" s="66"/>
      <c r="O1" s="66"/>
      <c r="P1" s="67" t="s">
        <v>129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9"/>
      <c r="AJ1" s="42" t="s">
        <v>130</v>
      </c>
      <c r="AK1" s="44"/>
      <c r="AL1" s="61" t="s">
        <v>10</v>
      </c>
      <c r="AM1" s="42" t="s">
        <v>131</v>
      </c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4"/>
    </row>
    <row r="2" spans="1:54" x14ac:dyDescent="0.45">
      <c r="A2" s="62"/>
      <c r="B2" s="62"/>
      <c r="C2" s="62"/>
      <c r="D2" s="62"/>
      <c r="E2" s="66"/>
      <c r="F2" s="59" t="s">
        <v>108</v>
      </c>
      <c r="G2" s="59" t="s">
        <v>195</v>
      </c>
      <c r="H2" s="59" t="s">
        <v>196</v>
      </c>
      <c r="I2" s="59" t="s">
        <v>202</v>
      </c>
      <c r="J2" s="59" t="s">
        <v>205</v>
      </c>
      <c r="K2" s="59" t="s">
        <v>198</v>
      </c>
      <c r="L2" s="64" t="s">
        <v>212</v>
      </c>
      <c r="M2" s="64" t="s">
        <v>213</v>
      </c>
      <c r="N2" s="64" t="s">
        <v>214</v>
      </c>
      <c r="O2" s="64" t="s">
        <v>215</v>
      </c>
      <c r="P2" s="42" t="s">
        <v>12</v>
      </c>
      <c r="Q2" s="43"/>
      <c r="R2" s="43"/>
      <c r="S2" s="44"/>
      <c r="T2" s="42" t="s">
        <v>112</v>
      </c>
      <c r="U2" s="43"/>
      <c r="V2" s="43"/>
      <c r="W2" s="44"/>
      <c r="X2" s="42" t="s">
        <v>113</v>
      </c>
      <c r="Y2" s="43"/>
      <c r="Z2" s="43"/>
      <c r="AA2" s="44"/>
      <c r="AB2" s="42" t="s">
        <v>39</v>
      </c>
      <c r="AC2" s="43"/>
      <c r="AD2" s="43"/>
      <c r="AE2" s="44"/>
      <c r="AF2" s="42" t="s">
        <v>36</v>
      </c>
      <c r="AG2" s="43"/>
      <c r="AH2" s="43"/>
      <c r="AI2" s="44"/>
      <c r="AJ2" s="61" t="s">
        <v>132</v>
      </c>
      <c r="AK2" s="61" t="s">
        <v>133</v>
      </c>
      <c r="AL2" s="62"/>
      <c r="AM2" s="42" t="s">
        <v>134</v>
      </c>
      <c r="AN2" s="43"/>
      <c r="AO2" s="43"/>
      <c r="AP2" s="43"/>
      <c r="AQ2" s="43"/>
      <c r="AR2" s="43"/>
      <c r="AS2" s="43"/>
      <c r="AT2" s="44"/>
      <c r="AU2" s="58" t="s">
        <v>135</v>
      </c>
      <c r="AV2" s="58"/>
      <c r="AW2" s="58"/>
      <c r="AX2" s="58"/>
      <c r="AY2" s="58"/>
      <c r="AZ2" s="58"/>
      <c r="BA2" s="58"/>
      <c r="BB2" s="58"/>
    </row>
    <row r="3" spans="1:54" s="22" customFormat="1" ht="36" x14ac:dyDescent="0.45">
      <c r="A3" s="63"/>
      <c r="B3" s="63"/>
      <c r="C3" s="63"/>
      <c r="D3" s="63"/>
      <c r="E3" s="66"/>
      <c r="F3" s="60"/>
      <c r="G3" s="60"/>
      <c r="H3" s="60"/>
      <c r="I3" s="60"/>
      <c r="J3" s="60"/>
      <c r="K3" s="60"/>
      <c r="L3" s="65"/>
      <c r="M3" s="71"/>
      <c r="N3" s="71"/>
      <c r="O3" s="71"/>
      <c r="P3" s="21" t="s">
        <v>118</v>
      </c>
      <c r="Q3" s="21" t="s">
        <v>136</v>
      </c>
      <c r="R3" s="21" t="s">
        <v>137</v>
      </c>
      <c r="S3" s="21" t="s">
        <v>138</v>
      </c>
      <c r="T3" s="21" t="s">
        <v>118</v>
      </c>
      <c r="U3" s="21" t="s">
        <v>136</v>
      </c>
      <c r="V3" s="21" t="s">
        <v>137</v>
      </c>
      <c r="W3" s="21" t="s">
        <v>138</v>
      </c>
      <c r="X3" s="21" t="s">
        <v>118</v>
      </c>
      <c r="Y3" s="21" t="s">
        <v>136</v>
      </c>
      <c r="Z3" s="21" t="s">
        <v>137</v>
      </c>
      <c r="AA3" s="21" t="s">
        <v>138</v>
      </c>
      <c r="AB3" s="21" t="s">
        <v>118</v>
      </c>
      <c r="AC3" s="21" t="s">
        <v>136</v>
      </c>
      <c r="AD3" s="21" t="s">
        <v>137</v>
      </c>
      <c r="AE3" s="21" t="s">
        <v>138</v>
      </c>
      <c r="AF3" s="21" t="s">
        <v>118</v>
      </c>
      <c r="AG3" s="21" t="s">
        <v>136</v>
      </c>
      <c r="AH3" s="21" t="s">
        <v>137</v>
      </c>
      <c r="AI3" s="21" t="s">
        <v>138</v>
      </c>
      <c r="AJ3" s="63"/>
      <c r="AK3" s="63"/>
      <c r="AL3" s="63"/>
      <c r="AM3" s="21" t="s">
        <v>12</v>
      </c>
      <c r="AN3" s="21" t="s">
        <v>139</v>
      </c>
      <c r="AO3" s="21" t="s">
        <v>140</v>
      </c>
      <c r="AP3" s="21" t="s">
        <v>141</v>
      </c>
      <c r="AQ3" s="21" t="s">
        <v>142</v>
      </c>
      <c r="AR3" s="21" t="s">
        <v>143</v>
      </c>
      <c r="AS3" s="21" t="s">
        <v>144</v>
      </c>
      <c r="AT3" s="21" t="s">
        <v>145</v>
      </c>
      <c r="AU3" s="21" t="s">
        <v>12</v>
      </c>
      <c r="AV3" s="21" t="s">
        <v>139</v>
      </c>
      <c r="AW3" s="21" t="s">
        <v>140</v>
      </c>
      <c r="AX3" s="21" t="s">
        <v>141</v>
      </c>
      <c r="AY3" s="21" t="s">
        <v>142</v>
      </c>
      <c r="AZ3" s="21" t="s">
        <v>143</v>
      </c>
      <c r="BA3" s="21" t="s">
        <v>144</v>
      </c>
      <c r="BB3" s="21" t="s">
        <v>145</v>
      </c>
    </row>
    <row r="4" spans="1:54" x14ac:dyDescent="0.45">
      <c r="A4" s="7">
        <v>1</v>
      </c>
      <c r="B4" s="34" t="s">
        <v>150</v>
      </c>
      <c r="C4" s="17" t="s">
        <v>109</v>
      </c>
      <c r="D4" s="30">
        <v>39121</v>
      </c>
      <c r="E4" s="19"/>
      <c r="F4" s="20" t="s">
        <v>146</v>
      </c>
      <c r="G4" s="20"/>
      <c r="H4" s="20"/>
      <c r="I4" s="14"/>
      <c r="J4" s="14"/>
      <c r="K4" s="20"/>
      <c r="L4" s="14"/>
      <c r="M4" s="70"/>
      <c r="N4" s="14"/>
      <c r="O4" s="20"/>
      <c r="P4" s="7"/>
      <c r="Q4" s="7"/>
      <c r="R4" s="7"/>
      <c r="S4" s="7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31"/>
      <c r="AX4" s="14"/>
      <c r="AY4" s="14"/>
      <c r="AZ4" s="14"/>
      <c r="BA4" s="14"/>
      <c r="BB4" s="14"/>
    </row>
    <row r="5" spans="1:54" x14ac:dyDescent="0.45">
      <c r="A5" s="7">
        <v>2</v>
      </c>
      <c r="B5" s="33" t="s">
        <v>151</v>
      </c>
      <c r="C5" s="17" t="s">
        <v>152</v>
      </c>
      <c r="D5" s="30">
        <v>192253</v>
      </c>
      <c r="E5" s="19"/>
      <c r="F5" s="20" t="s">
        <v>146</v>
      </c>
      <c r="G5" s="20"/>
      <c r="H5" s="20"/>
      <c r="I5" s="20"/>
      <c r="J5" s="14"/>
      <c r="K5" s="20"/>
      <c r="L5" s="14"/>
      <c r="M5" s="14"/>
      <c r="N5" s="14"/>
      <c r="O5" s="20"/>
      <c r="P5" s="7"/>
      <c r="Q5" s="7"/>
      <c r="R5" s="7"/>
      <c r="S5" s="7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31"/>
      <c r="AX5" s="14"/>
      <c r="AY5" s="14"/>
      <c r="AZ5" s="14"/>
      <c r="BA5" s="14"/>
      <c r="BB5" s="14"/>
    </row>
    <row r="6" spans="1:54" x14ac:dyDescent="0.45">
      <c r="A6" s="7">
        <v>3</v>
      </c>
      <c r="B6" s="33" t="s">
        <v>153</v>
      </c>
      <c r="C6" s="17" t="s">
        <v>149</v>
      </c>
      <c r="D6" s="30">
        <v>55030</v>
      </c>
      <c r="E6" s="19"/>
      <c r="F6" s="20" t="s">
        <v>146</v>
      </c>
      <c r="G6" s="20"/>
      <c r="H6" s="20"/>
      <c r="I6" s="20"/>
      <c r="J6" s="14"/>
      <c r="K6" s="20"/>
      <c r="L6" s="14"/>
      <c r="M6" s="14"/>
      <c r="N6" s="14"/>
      <c r="O6" s="20"/>
      <c r="P6" s="7"/>
      <c r="Q6" s="7"/>
      <c r="R6" s="7"/>
      <c r="S6" s="7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31"/>
      <c r="AX6" s="14"/>
      <c r="AY6" s="14"/>
      <c r="AZ6" s="14"/>
      <c r="BA6" s="14"/>
      <c r="BB6" s="14"/>
    </row>
    <row r="7" spans="1:54" x14ac:dyDescent="0.45">
      <c r="A7" s="7">
        <v>4</v>
      </c>
      <c r="B7" s="33" t="s">
        <v>154</v>
      </c>
      <c r="C7" s="17" t="s">
        <v>149</v>
      </c>
      <c r="D7" s="30">
        <v>312931</v>
      </c>
      <c r="E7" s="19"/>
      <c r="F7" s="20" t="s">
        <v>146</v>
      </c>
      <c r="G7" s="20"/>
      <c r="H7" s="20"/>
      <c r="I7" s="20"/>
      <c r="J7" s="14"/>
      <c r="K7" s="20"/>
      <c r="L7" s="14"/>
      <c r="M7" s="14"/>
      <c r="N7" s="14"/>
      <c r="O7" s="14"/>
      <c r="P7" s="7"/>
      <c r="Q7" s="7"/>
      <c r="R7" s="7"/>
      <c r="S7" s="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31"/>
      <c r="AX7" s="14"/>
      <c r="AY7" s="14"/>
      <c r="AZ7" s="14"/>
      <c r="BA7" s="14"/>
      <c r="BB7" s="14"/>
    </row>
    <row r="8" spans="1:54" x14ac:dyDescent="0.45">
      <c r="A8" s="7">
        <v>5</v>
      </c>
      <c r="B8" s="33" t="s">
        <v>155</v>
      </c>
      <c r="C8" s="17" t="s">
        <v>149</v>
      </c>
      <c r="D8" s="30">
        <v>237017</v>
      </c>
      <c r="E8" s="19"/>
      <c r="F8" s="20" t="s">
        <v>146</v>
      </c>
      <c r="G8" s="20"/>
      <c r="H8" s="20"/>
      <c r="I8" s="20"/>
      <c r="J8" s="20"/>
      <c r="K8" s="20"/>
      <c r="L8" s="14"/>
      <c r="M8" s="14"/>
      <c r="N8" s="14"/>
      <c r="O8" s="14"/>
      <c r="P8" s="7"/>
      <c r="Q8" s="7"/>
      <c r="R8" s="7"/>
      <c r="S8" s="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31"/>
      <c r="AX8" s="14"/>
      <c r="AY8" s="14"/>
      <c r="AZ8" s="14"/>
      <c r="BA8" s="14"/>
      <c r="BB8" s="14"/>
    </row>
    <row r="9" spans="1:54" x14ac:dyDescent="0.45">
      <c r="A9" s="7">
        <v>6</v>
      </c>
      <c r="B9" s="33" t="s">
        <v>156</v>
      </c>
      <c r="C9" s="17" t="s">
        <v>149</v>
      </c>
      <c r="D9" s="30">
        <v>301733</v>
      </c>
      <c r="E9" s="19"/>
      <c r="F9" s="20" t="s">
        <v>146</v>
      </c>
      <c r="G9" s="20"/>
      <c r="H9" s="20"/>
      <c r="I9" s="20"/>
      <c r="J9" s="14"/>
      <c r="K9" s="20"/>
      <c r="L9" s="14"/>
      <c r="M9" s="14"/>
      <c r="N9" s="14"/>
      <c r="O9" s="14"/>
      <c r="P9" s="7"/>
      <c r="Q9" s="7"/>
      <c r="R9" s="7"/>
      <c r="S9" s="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31"/>
      <c r="AX9" s="14"/>
      <c r="AY9" s="14"/>
      <c r="AZ9" s="14"/>
      <c r="BA9" s="14"/>
      <c r="BB9" s="14"/>
    </row>
    <row r="10" spans="1:54" x14ac:dyDescent="0.45">
      <c r="A10" s="7">
        <v>7</v>
      </c>
      <c r="B10" s="33" t="s">
        <v>157</v>
      </c>
      <c r="C10" s="17" t="s">
        <v>149</v>
      </c>
      <c r="D10" s="30">
        <v>370203</v>
      </c>
      <c r="E10" s="19"/>
      <c r="F10" s="20" t="s">
        <v>146</v>
      </c>
      <c r="G10" s="20"/>
      <c r="H10" s="20"/>
      <c r="I10" s="20"/>
      <c r="J10" s="14"/>
      <c r="K10" s="20"/>
      <c r="L10" s="14"/>
      <c r="M10" s="14"/>
      <c r="N10" s="14"/>
      <c r="O10" s="14"/>
      <c r="P10" s="7"/>
      <c r="Q10" s="7"/>
      <c r="R10" s="7"/>
      <c r="S10" s="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31"/>
      <c r="AX10" s="14"/>
      <c r="AY10" s="14"/>
      <c r="AZ10" s="14"/>
      <c r="BA10" s="14"/>
      <c r="BB10" s="14"/>
    </row>
    <row r="11" spans="1:54" x14ac:dyDescent="0.45">
      <c r="A11" s="7">
        <v>8</v>
      </c>
      <c r="B11" s="33" t="s">
        <v>158</v>
      </c>
      <c r="C11" s="17" t="s">
        <v>149</v>
      </c>
      <c r="D11" s="30">
        <v>384528</v>
      </c>
      <c r="E11" s="19"/>
      <c r="F11" s="20" t="s">
        <v>146</v>
      </c>
      <c r="G11" s="20"/>
      <c r="H11" s="20"/>
      <c r="I11" s="20"/>
      <c r="J11" s="14"/>
      <c r="K11" s="20"/>
      <c r="L11" s="14"/>
      <c r="M11" s="14"/>
      <c r="N11" s="14"/>
      <c r="O11" s="14"/>
      <c r="P11" s="7"/>
      <c r="Q11" s="7"/>
      <c r="R11" s="7"/>
      <c r="S11" s="7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45">
      <c r="A12" s="7">
        <v>9</v>
      </c>
      <c r="B12" s="33" t="s">
        <v>159</v>
      </c>
      <c r="C12" s="17" t="s">
        <v>149</v>
      </c>
      <c r="D12" s="30">
        <v>384368</v>
      </c>
      <c r="E12" s="19"/>
      <c r="F12" s="20" t="s">
        <v>146</v>
      </c>
      <c r="G12" s="20"/>
      <c r="H12" s="20"/>
      <c r="I12" s="20"/>
      <c r="J12" s="14"/>
      <c r="K12" s="20"/>
      <c r="L12" s="14"/>
      <c r="M12" s="14"/>
      <c r="N12" s="14"/>
      <c r="O12" s="14"/>
      <c r="P12" s="7"/>
      <c r="Q12" s="7"/>
      <c r="R12" s="7"/>
      <c r="S12" s="7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x14ac:dyDescent="0.45">
      <c r="A13" s="7">
        <v>10</v>
      </c>
      <c r="B13" s="33" t="s">
        <v>160</v>
      </c>
      <c r="C13" s="17" t="s">
        <v>149</v>
      </c>
      <c r="D13" s="30">
        <v>400254</v>
      </c>
      <c r="E13" s="19"/>
      <c r="F13" s="20" t="s">
        <v>146</v>
      </c>
      <c r="G13" s="20"/>
      <c r="H13" s="20"/>
      <c r="I13" s="20"/>
      <c r="J13" s="14"/>
      <c r="K13" s="20"/>
      <c r="L13" s="14"/>
      <c r="M13" s="14"/>
      <c r="N13" s="14"/>
      <c r="O13" s="14"/>
      <c r="P13" s="7"/>
      <c r="Q13" s="7"/>
      <c r="R13" s="7"/>
      <c r="S13" s="7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x14ac:dyDescent="0.45">
      <c r="A14" s="7">
        <v>11</v>
      </c>
      <c r="B14" s="33" t="s">
        <v>161</v>
      </c>
      <c r="C14" s="17" t="s">
        <v>149</v>
      </c>
      <c r="D14" s="30">
        <v>400221</v>
      </c>
      <c r="E14" s="19"/>
      <c r="F14" s="20" t="s">
        <v>146</v>
      </c>
      <c r="G14" s="20"/>
      <c r="H14" s="20"/>
      <c r="I14" s="20"/>
      <c r="J14" s="20"/>
      <c r="K14" s="20"/>
      <c r="L14" s="14"/>
      <c r="M14" s="14"/>
      <c r="N14" s="14"/>
      <c r="O14" s="14"/>
      <c r="P14" s="7"/>
      <c r="Q14" s="7"/>
      <c r="R14" s="7"/>
      <c r="S14" s="7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x14ac:dyDescent="0.45">
      <c r="A15" s="7">
        <v>12</v>
      </c>
      <c r="B15" s="33" t="s">
        <v>162</v>
      </c>
      <c r="C15" s="17" t="s">
        <v>149</v>
      </c>
      <c r="D15" s="30">
        <v>418973</v>
      </c>
      <c r="E15" s="19"/>
      <c r="F15" s="20" t="s">
        <v>146</v>
      </c>
      <c r="G15" s="20"/>
      <c r="H15" s="20"/>
      <c r="I15" s="20"/>
      <c r="J15" s="20"/>
      <c r="K15" s="20"/>
      <c r="L15" s="14"/>
      <c r="M15" s="14"/>
      <c r="N15" s="14"/>
      <c r="O15" s="14"/>
      <c r="P15" s="7"/>
      <c r="Q15" s="7"/>
      <c r="R15" s="7"/>
      <c r="S15" s="7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4" x14ac:dyDescent="0.45">
      <c r="A16" s="7">
        <v>13</v>
      </c>
      <c r="B16" s="33" t="s">
        <v>163</v>
      </c>
      <c r="C16" s="17" t="s">
        <v>149</v>
      </c>
      <c r="D16" s="30">
        <v>418995</v>
      </c>
      <c r="E16" s="19"/>
      <c r="F16" s="20" t="s">
        <v>146</v>
      </c>
      <c r="G16" s="20"/>
      <c r="H16" s="20"/>
      <c r="I16" s="20"/>
      <c r="J16" s="20"/>
      <c r="K16" s="20"/>
      <c r="L16" s="14"/>
      <c r="M16" s="14"/>
      <c r="N16" s="14"/>
      <c r="O16" s="14"/>
      <c r="P16" s="7"/>
      <c r="Q16" s="7"/>
      <c r="R16" s="7"/>
      <c r="S16" s="7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x14ac:dyDescent="0.45">
      <c r="A17" s="7">
        <v>14</v>
      </c>
      <c r="B17" s="33" t="s">
        <v>164</v>
      </c>
      <c r="C17" s="17" t="s">
        <v>149</v>
      </c>
      <c r="D17" s="30">
        <v>372342</v>
      </c>
      <c r="E17" s="19"/>
      <c r="F17" s="20" t="s">
        <v>146</v>
      </c>
      <c r="G17" s="20"/>
      <c r="H17" s="20"/>
      <c r="I17" s="20"/>
      <c r="J17" s="20"/>
      <c r="K17" s="20"/>
      <c r="L17" s="14"/>
      <c r="M17" s="14"/>
      <c r="N17" s="14"/>
      <c r="O17" s="14"/>
      <c r="P17" s="7"/>
      <c r="Q17" s="7"/>
      <c r="R17" s="7"/>
      <c r="S17" s="7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x14ac:dyDescent="0.45">
      <c r="A18" s="7">
        <v>15</v>
      </c>
      <c r="B18" s="33" t="s">
        <v>165</v>
      </c>
      <c r="C18" s="17" t="s">
        <v>149</v>
      </c>
      <c r="D18" s="30">
        <v>469508</v>
      </c>
      <c r="E18" s="19"/>
      <c r="F18" s="20" t="s">
        <v>146</v>
      </c>
      <c r="G18" s="20"/>
      <c r="H18" s="20"/>
      <c r="I18" s="20"/>
      <c r="J18" s="20"/>
      <c r="K18" s="20"/>
      <c r="L18" s="14"/>
      <c r="M18" s="14"/>
      <c r="N18" s="14"/>
      <c r="O18" s="14"/>
      <c r="P18" s="7"/>
      <c r="Q18" s="7"/>
      <c r="R18" s="7"/>
      <c r="S18" s="7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x14ac:dyDescent="0.45">
      <c r="A19" s="7">
        <v>16</v>
      </c>
      <c r="B19" s="33" t="s">
        <v>166</v>
      </c>
      <c r="C19" s="17" t="s">
        <v>149</v>
      </c>
      <c r="D19" s="30">
        <v>606151</v>
      </c>
      <c r="E19" s="19"/>
      <c r="F19" s="20" t="s">
        <v>146</v>
      </c>
      <c r="G19" s="20"/>
      <c r="H19" s="20"/>
      <c r="I19" s="20"/>
      <c r="J19" s="14"/>
      <c r="K19" s="20"/>
      <c r="L19" s="14"/>
      <c r="M19" s="14"/>
      <c r="N19" s="14"/>
      <c r="O19" s="14"/>
      <c r="P19" s="7"/>
      <c r="Q19" s="7"/>
      <c r="R19" s="7"/>
      <c r="S19" s="7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 x14ac:dyDescent="0.45">
      <c r="A20" s="7">
        <v>17</v>
      </c>
      <c r="B20" s="33" t="s">
        <v>167</v>
      </c>
      <c r="C20" s="17" t="s">
        <v>149</v>
      </c>
      <c r="D20" s="30">
        <v>606173</v>
      </c>
      <c r="E20" s="19"/>
      <c r="F20" s="20" t="s">
        <v>146</v>
      </c>
      <c r="G20" s="20"/>
      <c r="H20" s="20"/>
      <c r="I20" s="20"/>
      <c r="J20" s="14"/>
      <c r="K20" s="20"/>
      <c r="L20" s="14"/>
      <c r="M20" s="14"/>
      <c r="N20" s="14"/>
      <c r="O20" s="14"/>
      <c r="P20" s="7"/>
      <c r="Q20" s="7"/>
      <c r="R20" s="7"/>
      <c r="S20" s="7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 spans="1:54" x14ac:dyDescent="0.45">
      <c r="A21" s="7">
        <v>18</v>
      </c>
      <c r="B21" s="35" t="s">
        <v>168</v>
      </c>
      <c r="C21" s="17" t="s">
        <v>152</v>
      </c>
      <c r="D21" s="30">
        <v>19822</v>
      </c>
      <c r="E21" s="19"/>
      <c r="F21" s="20" t="s">
        <v>146</v>
      </c>
      <c r="G21" s="20"/>
      <c r="H21" s="20"/>
      <c r="I21" s="20"/>
      <c r="J21" s="20"/>
      <c r="K21" s="20"/>
      <c r="L21" s="14"/>
      <c r="M21" s="14"/>
      <c r="N21" s="14"/>
      <c r="O21" s="14"/>
      <c r="P21" s="7"/>
      <c r="Q21" s="7"/>
      <c r="R21" s="7"/>
      <c r="S21" s="7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 spans="1:54" x14ac:dyDescent="0.45">
      <c r="A22" s="7">
        <v>19</v>
      </c>
      <c r="B22" s="35" t="s">
        <v>169</v>
      </c>
      <c r="C22" s="17" t="s">
        <v>170</v>
      </c>
      <c r="D22" s="30">
        <v>150172</v>
      </c>
      <c r="E22" s="19"/>
      <c r="F22" s="20" t="s">
        <v>146</v>
      </c>
      <c r="G22" s="20"/>
      <c r="H22" s="20"/>
      <c r="I22" s="20"/>
      <c r="J22" s="20"/>
      <c r="K22" s="20"/>
      <c r="L22" s="14"/>
      <c r="M22" s="14"/>
      <c r="N22" s="14"/>
      <c r="O22" s="14"/>
      <c r="P22" s="7"/>
      <c r="Q22" s="7"/>
      <c r="R22" s="7"/>
      <c r="S22" s="7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 x14ac:dyDescent="0.45">
      <c r="A23" s="7">
        <v>20</v>
      </c>
      <c r="B23" s="35" t="s">
        <v>171</v>
      </c>
      <c r="C23" s="17" t="s">
        <v>149</v>
      </c>
      <c r="D23" s="30">
        <v>312760</v>
      </c>
      <c r="E23" s="19"/>
      <c r="F23" s="20" t="s">
        <v>146</v>
      </c>
      <c r="G23" s="20"/>
      <c r="H23" s="20"/>
      <c r="I23" s="20"/>
      <c r="J23" s="20"/>
      <c r="K23" s="20"/>
      <c r="L23" s="14"/>
      <c r="M23" s="14"/>
      <c r="N23" s="14"/>
      <c r="O23" s="14"/>
      <c r="P23" s="7"/>
      <c r="Q23" s="7"/>
      <c r="R23" s="7"/>
      <c r="S23" s="7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x14ac:dyDescent="0.45">
      <c r="A24" s="7">
        <v>21</v>
      </c>
      <c r="B24" s="35" t="s">
        <v>172</v>
      </c>
      <c r="C24" s="17" t="s">
        <v>149</v>
      </c>
      <c r="D24" s="30">
        <v>355317</v>
      </c>
      <c r="E24" s="19"/>
      <c r="F24" s="20" t="s">
        <v>146</v>
      </c>
      <c r="G24" s="20"/>
      <c r="H24" s="20"/>
      <c r="I24" s="20"/>
      <c r="J24" s="20"/>
      <c r="K24" s="20"/>
      <c r="L24" s="14"/>
      <c r="M24" s="14"/>
      <c r="N24" s="14"/>
      <c r="O24" s="14"/>
      <c r="P24" s="7"/>
      <c r="Q24" s="7"/>
      <c r="R24" s="7"/>
      <c r="S24" s="7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32"/>
      <c r="AL24" s="19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 x14ac:dyDescent="0.45">
      <c r="A25" s="7">
        <v>22</v>
      </c>
      <c r="B25" s="35" t="s">
        <v>173</v>
      </c>
      <c r="C25" s="17" t="s">
        <v>149</v>
      </c>
      <c r="D25" s="30">
        <v>384448</v>
      </c>
      <c r="E25" s="19"/>
      <c r="F25" s="20" t="s">
        <v>146</v>
      </c>
      <c r="G25" s="20"/>
      <c r="H25" s="20"/>
      <c r="I25" s="20"/>
      <c r="J25" s="20"/>
      <c r="K25" s="20"/>
      <c r="L25" s="14"/>
      <c r="M25" s="14"/>
      <c r="N25" s="14"/>
      <c r="O25" s="14"/>
      <c r="P25" s="7"/>
      <c r="Q25" s="7"/>
      <c r="R25" s="7"/>
      <c r="S25" s="7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 x14ac:dyDescent="0.45">
      <c r="A26" s="7">
        <v>23</v>
      </c>
      <c r="B26" s="35" t="s">
        <v>174</v>
      </c>
      <c r="C26" s="17" t="s">
        <v>149</v>
      </c>
      <c r="D26" s="30">
        <v>329441</v>
      </c>
      <c r="E26" s="19"/>
      <c r="F26" s="20" t="s">
        <v>146</v>
      </c>
      <c r="G26" s="20"/>
      <c r="H26" s="20"/>
      <c r="I26" s="20"/>
      <c r="J26" s="20"/>
      <c r="K26" s="20"/>
      <c r="L26" s="14"/>
      <c r="M26" s="14"/>
      <c r="N26" s="14"/>
      <c r="O26" s="14"/>
      <c r="P26" s="7"/>
      <c r="Q26" s="7"/>
      <c r="R26" s="7"/>
      <c r="S26" s="7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spans="1:54" x14ac:dyDescent="0.45">
      <c r="A27" s="7">
        <v>24</v>
      </c>
      <c r="B27" s="35" t="s">
        <v>175</v>
      </c>
      <c r="C27" s="17" t="s">
        <v>149</v>
      </c>
      <c r="D27" s="30">
        <v>384596</v>
      </c>
      <c r="E27" s="19"/>
      <c r="F27" s="20" t="s">
        <v>146</v>
      </c>
      <c r="G27" s="20"/>
      <c r="H27" s="20"/>
      <c r="I27" s="20"/>
      <c r="J27" s="20"/>
      <c r="K27" s="20"/>
      <c r="L27" s="14"/>
      <c r="M27" s="14"/>
      <c r="N27" s="14"/>
      <c r="O27" s="14"/>
      <c r="P27" s="7"/>
      <c r="Q27" s="7"/>
      <c r="R27" s="7"/>
      <c r="S27" s="7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spans="1:54" x14ac:dyDescent="0.45">
      <c r="A28" s="7">
        <v>26</v>
      </c>
      <c r="B28" s="35" t="s">
        <v>176</v>
      </c>
      <c r="C28" s="17" t="s">
        <v>149</v>
      </c>
      <c r="D28" s="30">
        <v>400152</v>
      </c>
      <c r="E28" s="19"/>
      <c r="F28" s="20" t="s">
        <v>146</v>
      </c>
      <c r="G28" s="20"/>
      <c r="H28" s="20"/>
      <c r="I28" s="20"/>
      <c r="J28" s="20"/>
      <c r="K28" s="20"/>
      <c r="L28" s="14"/>
      <c r="M28" s="14"/>
      <c r="N28" s="14"/>
      <c r="O28" s="14"/>
      <c r="P28" s="7"/>
      <c r="Q28" s="7"/>
      <c r="R28" s="7"/>
      <c r="S28" s="7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spans="1:54" x14ac:dyDescent="0.45">
      <c r="A29" s="7">
        <v>27</v>
      </c>
      <c r="B29" s="35" t="s">
        <v>177</v>
      </c>
      <c r="C29" s="17" t="s">
        <v>149</v>
      </c>
      <c r="D29" s="30">
        <v>399696</v>
      </c>
      <c r="E29" s="19"/>
      <c r="F29" s="20" t="s">
        <v>146</v>
      </c>
      <c r="G29" s="20"/>
      <c r="H29" s="20"/>
      <c r="I29" s="20"/>
      <c r="J29" s="20"/>
      <c r="K29" s="20"/>
      <c r="L29" s="14"/>
      <c r="M29" s="14"/>
      <c r="N29" s="14"/>
      <c r="O29" s="14"/>
      <c r="P29" s="7"/>
      <c r="Q29" s="7"/>
      <c r="R29" s="7"/>
      <c r="S29" s="7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spans="1:54" x14ac:dyDescent="0.45">
      <c r="A30" s="7">
        <v>29</v>
      </c>
      <c r="B30" s="35" t="s">
        <v>178</v>
      </c>
      <c r="C30" s="17" t="s">
        <v>149</v>
      </c>
      <c r="D30" s="30">
        <v>418962</v>
      </c>
      <c r="E30" s="19"/>
      <c r="F30" s="20" t="s">
        <v>146</v>
      </c>
      <c r="G30" s="20"/>
      <c r="H30" s="20"/>
      <c r="I30" s="20"/>
      <c r="J30" s="20"/>
      <c r="K30" s="20"/>
      <c r="L30" s="14"/>
      <c r="M30" s="14"/>
      <c r="N30" s="14"/>
      <c r="O30" s="14"/>
      <c r="P30" s="7"/>
      <c r="Q30" s="7"/>
      <c r="R30" s="7"/>
      <c r="S30" s="7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 spans="1:54" x14ac:dyDescent="0.45">
      <c r="A31" s="7">
        <v>30</v>
      </c>
      <c r="B31" s="35" t="s">
        <v>179</v>
      </c>
      <c r="C31" s="17" t="s">
        <v>149</v>
      </c>
      <c r="D31" s="30">
        <v>418940</v>
      </c>
      <c r="E31" s="19"/>
      <c r="F31" s="20" t="s">
        <v>146</v>
      </c>
      <c r="G31" s="20"/>
      <c r="H31" s="14"/>
      <c r="I31" s="14"/>
      <c r="J31" s="20"/>
      <c r="K31" s="20"/>
      <c r="L31" s="14"/>
      <c r="M31" s="14"/>
      <c r="N31" s="14"/>
      <c r="O31" s="14"/>
      <c r="P31" s="7"/>
      <c r="Q31" s="7"/>
      <c r="R31" s="7"/>
      <c r="S31" s="7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 x14ac:dyDescent="0.45">
      <c r="A32" s="7">
        <v>31</v>
      </c>
      <c r="B32" s="35" t="s">
        <v>180</v>
      </c>
      <c r="C32" s="17" t="s">
        <v>149</v>
      </c>
      <c r="D32" s="30">
        <v>469576</v>
      </c>
      <c r="E32" s="19"/>
      <c r="F32" s="20" t="s">
        <v>146</v>
      </c>
      <c r="G32" s="20"/>
      <c r="H32" s="14"/>
      <c r="I32" s="14"/>
      <c r="J32" s="20"/>
      <c r="K32" s="20"/>
      <c r="L32" s="14"/>
      <c r="M32" s="14"/>
      <c r="N32" s="14"/>
      <c r="O32" s="14"/>
      <c r="P32" s="7"/>
      <c r="Q32" s="7"/>
      <c r="R32" s="7"/>
      <c r="S32" s="7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spans="1:54" x14ac:dyDescent="0.45">
      <c r="A33" s="7">
        <v>32</v>
      </c>
      <c r="B33" s="35" t="s">
        <v>181</v>
      </c>
      <c r="C33" s="17" t="s">
        <v>149</v>
      </c>
      <c r="D33" s="30">
        <v>469372</v>
      </c>
      <c r="E33" s="19"/>
      <c r="F33" s="20" t="s">
        <v>146</v>
      </c>
      <c r="G33" s="19"/>
      <c r="H33" s="19"/>
      <c r="I33" s="19"/>
      <c r="J33" s="20"/>
      <c r="K33" s="20"/>
      <c r="L33" s="19"/>
      <c r="M33" s="19"/>
      <c r="N33" s="19"/>
      <c r="O33" s="19"/>
      <c r="P33" s="7"/>
      <c r="Q33" s="7"/>
      <c r="R33" s="7"/>
      <c r="S33" s="7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 x14ac:dyDescent="0.45">
      <c r="A34" s="7">
        <v>33</v>
      </c>
      <c r="B34" s="35" t="s">
        <v>182</v>
      </c>
      <c r="C34" s="17" t="s">
        <v>149</v>
      </c>
      <c r="D34" s="30">
        <v>606162</v>
      </c>
      <c r="E34" s="19"/>
      <c r="F34" s="20" t="s">
        <v>146</v>
      </c>
      <c r="G34" s="19"/>
      <c r="H34" s="19"/>
      <c r="I34" s="19"/>
      <c r="J34" s="20"/>
      <c r="K34" s="20"/>
      <c r="L34" s="19"/>
      <c r="M34" s="19"/>
      <c r="N34" s="19"/>
      <c r="O34" s="19"/>
      <c r="P34" s="7"/>
      <c r="Q34" s="7"/>
      <c r="R34" s="7"/>
      <c r="S34" s="7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spans="1:54" x14ac:dyDescent="0.45">
      <c r="A35" s="7">
        <v>34</v>
      </c>
      <c r="B35" s="35" t="s">
        <v>183</v>
      </c>
      <c r="C35" s="17" t="s">
        <v>149</v>
      </c>
      <c r="D35" s="30">
        <v>606116</v>
      </c>
      <c r="E35" s="19"/>
      <c r="F35" s="20" t="s">
        <v>146</v>
      </c>
      <c r="G35" s="19"/>
      <c r="H35" s="19"/>
      <c r="I35" s="19"/>
      <c r="J35" s="20"/>
      <c r="K35" s="20"/>
      <c r="L35" s="19"/>
      <c r="M35" s="19"/>
      <c r="N35" s="19"/>
      <c r="O35" s="19"/>
      <c r="P35" s="7"/>
      <c r="Q35" s="7"/>
      <c r="R35" s="7"/>
      <c r="S35" s="7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 x14ac:dyDescent="0.45">
      <c r="A36" s="7">
        <v>35</v>
      </c>
      <c r="B36" s="35" t="s">
        <v>184</v>
      </c>
      <c r="C36" s="17" t="s">
        <v>149</v>
      </c>
      <c r="D36" s="30">
        <v>606548</v>
      </c>
      <c r="E36" s="19"/>
      <c r="F36" s="20" t="s">
        <v>146</v>
      </c>
      <c r="G36" s="19"/>
      <c r="H36" s="19"/>
      <c r="I36" s="19"/>
      <c r="J36" s="20"/>
      <c r="K36" s="20"/>
      <c r="L36" s="19"/>
      <c r="M36" s="19"/>
      <c r="N36" s="19"/>
      <c r="O36" s="19"/>
      <c r="P36" s="7"/>
      <c r="Q36" s="7"/>
      <c r="R36" s="7"/>
      <c r="S36" s="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spans="1:54" x14ac:dyDescent="0.45">
      <c r="A37" s="7">
        <v>36</v>
      </c>
      <c r="B37" s="17" t="s">
        <v>185</v>
      </c>
      <c r="C37" s="17" t="s">
        <v>149</v>
      </c>
      <c r="D37" s="30">
        <v>212176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7"/>
      <c r="Q37" s="7"/>
      <c r="R37" s="7"/>
      <c r="S37" s="7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 x14ac:dyDescent="0.45">
      <c r="A38" s="7">
        <v>37</v>
      </c>
      <c r="B38" s="17" t="s">
        <v>186</v>
      </c>
      <c r="C38" s="17" t="s">
        <v>149</v>
      </c>
      <c r="D38" s="30">
        <v>269415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7"/>
      <c r="Q38" s="7"/>
      <c r="R38" s="7"/>
      <c r="S38" s="7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spans="1:54" x14ac:dyDescent="0.45">
      <c r="A39" s="7">
        <v>38</v>
      </c>
      <c r="B39" s="17" t="s">
        <v>187</v>
      </c>
      <c r="C39" s="17" t="s">
        <v>188</v>
      </c>
      <c r="D39" s="30">
        <v>367788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7"/>
      <c r="Q39" s="7"/>
      <c r="R39" s="7"/>
      <c r="S39" s="7"/>
      <c r="T39" s="19"/>
      <c r="U39" s="19"/>
      <c r="V39" s="32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 x14ac:dyDescent="0.45">
      <c r="A40" s="7">
        <v>39</v>
      </c>
      <c r="B40" s="17" t="s">
        <v>189</v>
      </c>
      <c r="C40" s="17" t="s">
        <v>188</v>
      </c>
      <c r="D40" s="30">
        <v>604251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7"/>
      <c r="Q40" s="7"/>
      <c r="R40" s="7"/>
      <c r="S40" s="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</row>
    <row r="41" spans="1:54" x14ac:dyDescent="0.45">
      <c r="A41" s="7">
        <v>40</v>
      </c>
      <c r="B41" s="17" t="s">
        <v>190</v>
      </c>
      <c r="C41" s="17" t="s">
        <v>188</v>
      </c>
      <c r="D41" s="30">
        <v>33875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7"/>
      <c r="Q41" s="7"/>
      <c r="R41" s="7"/>
      <c r="S41" s="7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</row>
    <row r="42" spans="1:54" x14ac:dyDescent="0.45">
      <c r="A42" s="7">
        <v>41</v>
      </c>
      <c r="B42" s="17" t="s">
        <v>191</v>
      </c>
      <c r="C42" s="17" t="s">
        <v>188</v>
      </c>
      <c r="D42" s="30">
        <v>630628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7"/>
      <c r="Q42" s="7"/>
      <c r="R42" s="7"/>
      <c r="S42" s="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</row>
    <row r="43" spans="1:54" x14ac:dyDescent="0.45">
      <c r="A43" s="7">
        <v>42</v>
      </c>
      <c r="B43" s="17" t="s">
        <v>147</v>
      </c>
      <c r="C43" s="17" t="s">
        <v>147</v>
      </c>
      <c r="D43" s="17" t="s">
        <v>147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7"/>
      <c r="Q43" s="7"/>
      <c r="R43" s="7"/>
      <c r="S43" s="7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 x14ac:dyDescent="0.45">
      <c r="A44" s="7">
        <v>43</v>
      </c>
      <c r="B44" s="17" t="s">
        <v>147</v>
      </c>
      <c r="C44" s="17" t="s">
        <v>147</v>
      </c>
      <c r="D44" s="17" t="s">
        <v>147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7" t="str">
        <f t="shared" ref="P44:P50" si="0">IF(B44="","",1)</f>
        <v/>
      </c>
      <c r="Q44" s="7" t="str">
        <f>IF(B44="","",28-(T44+#REF!+#REF!+AB44+#REF!+#REF!+#REF!))</f>
        <v/>
      </c>
      <c r="R44" s="7"/>
      <c r="S44" s="7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</row>
    <row r="45" spans="1:54" x14ac:dyDescent="0.45">
      <c r="A45" s="7">
        <v>44</v>
      </c>
      <c r="B45" s="17" t="s">
        <v>147</v>
      </c>
      <c r="C45" s="17" t="s">
        <v>147</v>
      </c>
      <c r="D45" s="17" t="s">
        <v>147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7" t="str">
        <f t="shared" si="0"/>
        <v/>
      </c>
      <c r="Q45" s="7" t="str">
        <f>IF(B45="","",28-(T45+#REF!+#REF!+AB45+#REF!+#REF!+#REF!))</f>
        <v/>
      </c>
      <c r="R45" s="7"/>
      <c r="S45" s="7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:54" x14ac:dyDescent="0.45">
      <c r="A46" s="7">
        <v>45</v>
      </c>
      <c r="B46" s="17" t="s">
        <v>147</v>
      </c>
      <c r="C46" s="17" t="s">
        <v>147</v>
      </c>
      <c r="D46" s="17" t="s">
        <v>147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7" t="str">
        <f t="shared" si="0"/>
        <v/>
      </c>
      <c r="Q46" s="7" t="str">
        <f>IF(B46="","",28-(T46+#REF!+#REF!+AB46+#REF!+#REF!+#REF!))</f>
        <v/>
      </c>
      <c r="R46" s="7"/>
      <c r="S46" s="7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:54" x14ac:dyDescent="0.45">
      <c r="A47" s="7">
        <v>46</v>
      </c>
      <c r="B47" s="17" t="s">
        <v>147</v>
      </c>
      <c r="C47" s="17" t="s">
        <v>147</v>
      </c>
      <c r="D47" s="17" t="s">
        <v>147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7" t="str">
        <f t="shared" si="0"/>
        <v/>
      </c>
      <c r="Q47" s="7" t="str">
        <f>IF(B47="","",28-(T47+#REF!+#REF!+AB47+#REF!+#REF!+#REF!))</f>
        <v/>
      </c>
      <c r="R47" s="7"/>
      <c r="S47" s="7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</row>
    <row r="48" spans="1:54" x14ac:dyDescent="0.45">
      <c r="A48" s="7">
        <v>47</v>
      </c>
      <c r="B48" s="17" t="s">
        <v>147</v>
      </c>
      <c r="C48" s="17" t="s">
        <v>147</v>
      </c>
      <c r="D48" s="17" t="s">
        <v>147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7" t="str">
        <f t="shared" si="0"/>
        <v/>
      </c>
      <c r="Q48" s="7" t="str">
        <f>IF(B48="","",28-(T48+#REF!+#REF!+AB48+#REF!+#REF!+#REF!))</f>
        <v/>
      </c>
      <c r="R48" s="7"/>
      <c r="S48" s="7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</row>
    <row r="49" spans="1:54" x14ac:dyDescent="0.45">
      <c r="A49" s="7">
        <v>48</v>
      </c>
      <c r="B49" s="17" t="s">
        <v>147</v>
      </c>
      <c r="C49" s="17" t="s">
        <v>147</v>
      </c>
      <c r="D49" s="17" t="s">
        <v>147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7" t="str">
        <f t="shared" si="0"/>
        <v/>
      </c>
      <c r="Q49" s="7" t="str">
        <f>IF(B49="","",28-(T49+#REF!+#REF!+AB49+#REF!+#REF!+#REF!))</f>
        <v/>
      </c>
      <c r="R49" s="7"/>
      <c r="S49" s="7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</row>
    <row r="50" spans="1:54" x14ac:dyDescent="0.45">
      <c r="A50" s="7">
        <v>49</v>
      </c>
      <c r="B50" s="17" t="s">
        <v>147</v>
      </c>
      <c r="C50" s="17" t="s">
        <v>147</v>
      </c>
      <c r="D50" s="17" t="s">
        <v>147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7" t="str">
        <f t="shared" si="0"/>
        <v/>
      </c>
      <c r="Q50" s="7" t="str">
        <f>IF(B50="","",28-(T50+#REF!+#REF!+AB50+#REF!+#REF!+#REF!))</f>
        <v/>
      </c>
      <c r="R50" s="7"/>
      <c r="S50" s="7"/>
      <c r="T50" s="19"/>
      <c r="U50" s="7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</row>
    <row r="51" spans="1:54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9"/>
      <c r="R51" s="9"/>
      <c r="S51" s="9"/>
      <c r="T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</sheetData>
  <autoFilter ref="A3:BB3" xr:uid="{CBB4DEC6-0F5B-4810-8F97-044EAC296690}">
    <sortState xmlns:xlrd2="http://schemas.microsoft.com/office/spreadsheetml/2017/richdata2" ref="A6:BB52">
      <sortCondition ref="A3"/>
    </sortState>
  </autoFilter>
  <mergeCells count="29">
    <mergeCell ref="P1:AI1"/>
    <mergeCell ref="J2:J3"/>
    <mergeCell ref="H2:H3"/>
    <mergeCell ref="I2:I3"/>
    <mergeCell ref="AF2:AI2"/>
    <mergeCell ref="X2:AA2"/>
    <mergeCell ref="M2:M3"/>
    <mergeCell ref="N2:N3"/>
    <mergeCell ref="A1:A3"/>
    <mergeCell ref="B1:B3"/>
    <mergeCell ref="C1:C3"/>
    <mergeCell ref="D1:D3"/>
    <mergeCell ref="E1:E3"/>
    <mergeCell ref="AM2:AT2"/>
    <mergeCell ref="AU2:BB2"/>
    <mergeCell ref="AM1:BB1"/>
    <mergeCell ref="K2:K3"/>
    <mergeCell ref="AB2:AE2"/>
    <mergeCell ref="P2:S2"/>
    <mergeCell ref="T2:W2"/>
    <mergeCell ref="AL1:AL3"/>
    <mergeCell ref="L2:L3"/>
    <mergeCell ref="O2:O3"/>
    <mergeCell ref="AJ2:AJ3"/>
    <mergeCell ref="AK2:AK3"/>
    <mergeCell ref="AJ1:AK1"/>
    <mergeCell ref="F1:O1"/>
    <mergeCell ref="F2:F3"/>
    <mergeCell ref="G2:G3"/>
  </mergeCells>
  <phoneticPr fontId="1"/>
  <pageMargins left="0.7" right="0.7" top="0.75" bottom="0.75" header="0.3" footer="0.3"/>
  <pageSetup paperSize="8" scale="56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148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2025-08-22T01:26:21Z</cp:lastPrinted>
  <dcterms:created xsi:type="dcterms:W3CDTF">2021-11-08T06:59:49Z</dcterms:created>
  <dcterms:modified xsi:type="dcterms:W3CDTF">2025-08-22T01:27:05Z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