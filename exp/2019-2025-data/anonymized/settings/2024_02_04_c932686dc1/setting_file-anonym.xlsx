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4" activeTab="3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'④看護師別シフト数'!$A$3:$AV$54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b val="1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1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3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 textRotation="255"/>
    </xf>
    <xf numFmtId="0" fontId="4" fillId="0" borderId="1" applyAlignment="1" pivotButton="0" quotePrefix="0" xfId="0">
      <alignment vertical="center" textRotation="255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3" borderId="1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3" borderId="2" applyAlignment="1" applyProtection="1" pivotButton="0" quotePrefix="0" xfId="0">
      <alignment horizontal="center" vertical="center"/>
      <protection locked="0" hidden="0"/>
    </xf>
    <xf numFmtId="0" fontId="4" fillId="3" borderId="1" applyAlignment="1" applyProtection="1" pivotButton="0" quotePrefix="0" xfId="0">
      <alignment vertical="center"/>
      <protection locked="0" hidden="0"/>
    </xf>
    <xf numFmtId="0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8" fillId="3" borderId="1" applyAlignment="1" applyProtection="1" pivotButton="0" quotePrefix="0" xfId="0">
      <alignment horizontal="center" vertical="center"/>
      <protection locked="0" hidden="0"/>
    </xf>
    <xf numFmtId="0" fontId="0" fillId="3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2" fillId="3" borderId="1" applyAlignment="1" applyProtection="1" pivotButton="0" quotePrefix="0" xfId="0">
      <alignment horizontal="center" vertical="center"/>
      <protection locked="0" hidden="0"/>
    </xf>
    <xf numFmtId="0" fontId="9" fillId="3" borderId="1" applyAlignment="1" applyProtection="1" pivotButton="0" quotePrefix="0" xfId="0">
      <alignment horizontal="center" vertical="center"/>
      <protection locked="0" hidden="0"/>
    </xf>
    <xf numFmtId="0" fontId="0" fillId="3" borderId="1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2" borderId="1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3" borderId="6" applyAlignment="1" pivotButton="0" quotePrefix="0" xfId="0">
      <alignment horizontal="center" vertical="center"/>
    </xf>
    <xf numFmtId="0" fontId="4" fillId="3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4" fillId="3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13" min="1" max="1"/>
    <col width="9" customWidth="1" style="13" min="2" max="16384"/>
  </cols>
  <sheetData>
    <row r="1" ht="30" customHeight="1" s="79">
      <c r="A1" s="13" t="inlineStr">
        <is>
          <t>この設定ファイルの使い方</t>
        </is>
      </c>
    </row>
    <row r="2" ht="30" customHeight="1" s="79">
      <c r="A2" s="13" t="n">
        <v>1</v>
      </c>
      <c r="B2" s="13" t="inlineStr">
        <is>
          <t>黄色のセルだけ入力してください。</t>
        </is>
      </c>
    </row>
    <row r="3" ht="30" customHeight="1" s="79">
      <c r="A3" s="13" t="n">
        <v>2</v>
      </c>
      <c r="B3" s="13" t="inlineStr">
        <is>
          <t>データ、テキストを貼り付ける時は、「テキスト貼り付け」を使用してください。</t>
        </is>
      </c>
    </row>
    <row r="4" ht="30" customHeight="1" s="79">
      <c r="A4" s="13" t="n">
        <v>3</v>
      </c>
      <c r="B4" s="13" t="inlineStr">
        <is>
          <t>列、行を増やす時、黄色でないセルを編集したい場合は、総務課山中までご連絡ください。</t>
        </is>
      </c>
    </row>
    <row r="5" ht="30" customHeight="1" s="79">
      <c r="A5" s="13" t="n">
        <v>4</v>
      </c>
      <c r="B5" s="13" t="inlineStr">
        <is>
          <t>点数の内訳は病棟内の管理とし、設定ファイルには合計点数を記載してください。</t>
        </is>
      </c>
    </row>
    <row r="6" ht="30" customHeight="1" s="79">
      <c r="A6" s="13" t="n">
        <v>5</v>
      </c>
      <c r="B6" s="13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79">
      <c r="A7" s="13" t="n">
        <v>6</v>
      </c>
      <c r="B7" s="13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75" defaultRowHeight="18"/>
  <cols>
    <col width="6.5" customWidth="1" style="79" min="1" max="1"/>
    <col width="22.5" customWidth="1" style="79" min="2" max="2"/>
    <col width="17.125" bestFit="1" customWidth="1" style="79" min="3" max="3"/>
    <col width="19.125" bestFit="1" customWidth="1" style="79" min="4" max="4"/>
    <col width="54.625" bestFit="1" customWidth="1" style="79" min="5" max="5"/>
  </cols>
  <sheetData>
    <row r="1">
      <c r="A1" s="43" t="inlineStr">
        <is>
          <t>記号</t>
        </is>
      </c>
      <c r="B1" s="28" t="inlineStr">
        <is>
          <t>元記号</t>
        </is>
      </c>
      <c r="C1" s="43" t="inlineStr">
        <is>
          <t>意味</t>
        </is>
      </c>
      <c r="D1" s="43" t="inlineStr">
        <is>
          <t>説明</t>
        </is>
      </c>
      <c r="E1" s="43" t="inlineStr">
        <is>
          <t>備考</t>
        </is>
      </c>
    </row>
    <row r="2">
      <c r="A2" s="1" t="inlineStr">
        <is>
          <t>日</t>
        </is>
      </c>
      <c r="B2" s="29" t="inlineStr">
        <is>
          <t>日,日◇</t>
        </is>
      </c>
      <c r="C2" s="1" t="inlineStr">
        <is>
          <t>日勤</t>
        </is>
      </c>
      <c r="D2" s="12" t="inlineStr">
        <is>
          <t>連続は５回まで</t>
        </is>
      </c>
      <c r="E2" s="1" t="n"/>
    </row>
    <row r="3">
      <c r="A3" s="1" t="inlineStr">
        <is>
          <t>N</t>
        </is>
      </c>
      <c r="B3" s="29" t="inlineStr">
        <is>
          <t>N1,N2,N2K,N2S</t>
        </is>
      </c>
      <c r="C3" s="1" t="inlineStr">
        <is>
          <t>長日勤</t>
        </is>
      </c>
      <c r="D3" s="8" t="inlineStr">
        <is>
          <t>連続は２回まで</t>
        </is>
      </c>
      <c r="E3" s="1" t="n"/>
    </row>
    <row r="4">
      <c r="A4" s="1" t="inlineStr">
        <is>
          <t>J</t>
        </is>
      </c>
      <c r="B4" s="29" t="inlineStr">
        <is>
          <t>J1,J2,J2S</t>
        </is>
      </c>
      <c r="C4" s="1" t="inlineStr">
        <is>
          <t>短準夜</t>
        </is>
      </c>
      <c r="D4" s="8" t="inlineStr">
        <is>
          <t>後にSが来る。</t>
        </is>
      </c>
      <c r="E4" s="1" t="n"/>
    </row>
    <row r="5">
      <c r="A5" s="1" t="inlineStr">
        <is>
          <t>S</t>
        </is>
      </c>
      <c r="B5" s="29" t="inlineStr">
        <is>
          <t>S,SS</t>
        </is>
      </c>
      <c r="C5" s="1" t="inlineStr">
        <is>
          <t>短深夜</t>
        </is>
      </c>
      <c r="D5" s="8" t="inlineStr">
        <is>
          <t>Jの後</t>
        </is>
      </c>
      <c r="E5" s="1" t="n"/>
    </row>
    <row r="6">
      <c r="A6" s="1" t="inlineStr">
        <is>
          <t>★</t>
        </is>
      </c>
      <c r="B6" s="29" t="inlineStr">
        <is>
          <t>★</t>
        </is>
      </c>
      <c r="C6" s="1" t="inlineStr">
        <is>
          <t>準夜</t>
        </is>
      </c>
      <c r="D6" s="8" t="inlineStr">
        <is>
          <t>後に☆が来る。</t>
        </is>
      </c>
      <c r="E6" s="1" t="n"/>
    </row>
    <row r="7">
      <c r="A7" s="1" t="inlineStr">
        <is>
          <t>☆</t>
        </is>
      </c>
      <c r="B7" s="29" t="inlineStr">
        <is>
          <t>☆</t>
        </is>
      </c>
      <c r="C7" s="1" t="inlineStr">
        <is>
          <t>深夜</t>
        </is>
      </c>
      <c r="D7" s="8" t="inlineStr">
        <is>
          <t>★の後</t>
        </is>
      </c>
      <c r="E7" s="1" t="n"/>
    </row>
    <row r="8" customFormat="1" s="31">
      <c r="A8" s="29" t="inlineStr">
        <is>
          <t>A</t>
        </is>
      </c>
      <c r="B8" s="29" t="inlineStr">
        <is>
          <t>A1,A2</t>
        </is>
      </c>
      <c r="C8" s="29" t="inlineStr">
        <is>
          <t>早出</t>
        </is>
      </c>
      <c r="D8" s="29" t="n"/>
      <c r="E8" s="29" t="n"/>
    </row>
    <row r="9">
      <c r="A9" s="1" t="inlineStr">
        <is>
          <t>P</t>
        </is>
      </c>
      <c r="B9" s="29" t="inlineStr">
        <is>
          <t>P1,P2,P3,P4</t>
        </is>
      </c>
      <c r="C9" s="1" t="inlineStr">
        <is>
          <t>遅出</t>
        </is>
      </c>
      <c r="D9" s="8" t="inlineStr">
        <is>
          <t>連続なし</t>
        </is>
      </c>
      <c r="E9" s="30" t="inlineStr">
        <is>
          <t>Nが不足する（５未満）の時にPで代替</t>
        </is>
      </c>
    </row>
    <row r="10">
      <c r="A10" s="1" t="inlineStr">
        <is>
          <t>○</t>
        </is>
      </c>
      <c r="B10" s="29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9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9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9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9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9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9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8" sqref="H8"/>
    </sheetView>
  </sheetViews>
  <sheetFormatPr baseColWidth="8" defaultColWidth="8.875" defaultRowHeight="18"/>
  <cols>
    <col width="17.125" bestFit="1" customWidth="1" style="79" min="1" max="1"/>
    <col width="13" bestFit="1" customWidth="1" style="79" min="2" max="2"/>
    <col width="13" bestFit="1" customWidth="1" style="3" min="3" max="3"/>
    <col width="13.625" customWidth="1" style="79" min="4" max="4"/>
    <col width="23.5" bestFit="1" customWidth="1" style="79" min="5" max="5"/>
    <col width="15.125" bestFit="1" customWidth="1" style="3" min="6" max="6"/>
    <col width="7.125" bestFit="1" customWidth="1" style="3" min="7" max="7"/>
    <col width="15.125" bestFit="1" customWidth="1" style="3" min="8" max="8"/>
    <col width="10.875" customWidth="1" style="3" min="9" max="11"/>
    <col width="10.125" customWidth="1" style="79" min="12" max="13"/>
  </cols>
  <sheetData>
    <row r="1">
      <c r="A1" s="43" t="inlineStr">
        <is>
          <t>連続勤務可能日数</t>
        </is>
      </c>
      <c r="B1" s="43" t="inlineStr">
        <is>
          <t>必須パターン</t>
        </is>
      </c>
      <c r="C1" s="43" t="inlineStr">
        <is>
          <t>禁止パターン</t>
        </is>
      </c>
      <c r="D1" s="43" t="inlineStr">
        <is>
          <t>推奨パターン</t>
        </is>
      </c>
      <c r="E1" s="80" t="n"/>
      <c r="F1" s="43" t="inlineStr">
        <is>
          <t>前日・翌日可能シフト</t>
        </is>
      </c>
      <c r="G1" s="81" t="n"/>
      <c r="H1" s="80" t="n"/>
      <c r="I1" s="43" t="inlineStr">
        <is>
          <t>パターン割当数</t>
        </is>
      </c>
      <c r="J1" s="81" t="n"/>
      <c r="K1" s="81" t="n"/>
      <c r="L1" s="81" t="n"/>
      <c r="M1" s="80" t="n"/>
    </row>
    <row r="2">
      <c r="A2" s="82" t="n"/>
      <c r="B2" s="82" t="n"/>
      <c r="C2" s="82" t="n"/>
      <c r="D2" s="14" t="inlineStr">
        <is>
          <t>パターン</t>
        </is>
      </c>
      <c r="E2" s="14" t="inlineStr">
        <is>
          <t>備考</t>
        </is>
      </c>
      <c r="F2" s="43" t="inlineStr">
        <is>
          <t>前日可能シフト</t>
        </is>
      </c>
      <c r="G2" s="43" t="inlineStr">
        <is>
          <t>シフト</t>
        </is>
      </c>
      <c r="H2" s="43" t="inlineStr">
        <is>
          <t>翌日可能シフト</t>
        </is>
      </c>
      <c r="I2" s="43" t="inlineStr">
        <is>
          <t>パターン</t>
        </is>
      </c>
      <c r="J2" s="42" t="inlineStr">
        <is>
          <t>許容最小</t>
        </is>
      </c>
      <c r="K2" s="42" t="inlineStr">
        <is>
          <t>理想最小</t>
        </is>
      </c>
      <c r="L2" s="42" t="inlineStr">
        <is>
          <t>理想最大</t>
        </is>
      </c>
      <c r="M2" s="42" t="inlineStr">
        <is>
          <t>許容最大</t>
        </is>
      </c>
    </row>
    <row r="3">
      <c r="A3" s="21" t="n">
        <v>5</v>
      </c>
      <c r="B3" s="15" t="inlineStr">
        <is>
          <t>★☆○</t>
        </is>
      </c>
      <c r="C3" s="15" t="inlineStr">
        <is>
          <t>NN</t>
        </is>
      </c>
      <c r="D3" s="15" t="inlineStr">
        <is>
          <t>NJS○</t>
        </is>
      </c>
      <c r="E3" s="15" t="n"/>
      <c r="F3" s="15" t="inlineStr">
        <is>
          <t>J</t>
        </is>
      </c>
      <c r="G3" s="15" t="inlineStr">
        <is>
          <t>S</t>
        </is>
      </c>
      <c r="H3" s="15" t="inlineStr">
        <is>
          <t>J,○,◎</t>
        </is>
      </c>
      <c r="I3" s="19" t="inlineStr">
        <is>
          <t>○○</t>
        </is>
      </c>
      <c r="J3" s="15" t="n">
        <v>2</v>
      </c>
      <c r="K3" s="15" t="n"/>
      <c r="L3" s="41" t="n"/>
      <c r="M3" s="41" t="n"/>
    </row>
    <row r="4">
      <c r="B4" s="15" t="inlineStr">
        <is>
          <t>JS</t>
        </is>
      </c>
      <c r="C4" s="15" t="inlineStr">
        <is>
          <t>N日</t>
        </is>
      </c>
      <c r="D4" s="15" t="inlineStr">
        <is>
          <t>○○</t>
        </is>
      </c>
      <c r="E4" s="15" t="inlineStr">
        <is>
          <t>※できれば土日で</t>
        </is>
      </c>
      <c r="F4" s="15" t="inlineStr">
        <is>
          <t>N,P</t>
        </is>
      </c>
      <c r="G4" s="15" t="inlineStr">
        <is>
          <t>J</t>
        </is>
      </c>
      <c r="H4" s="15" t="inlineStr">
        <is>
          <t>S</t>
        </is>
      </c>
      <c r="I4" s="15" t="inlineStr">
        <is>
          <t>N日</t>
        </is>
      </c>
      <c r="J4" s="15" t="n"/>
      <c r="K4" s="16" t="n"/>
      <c r="L4" s="41" t="n"/>
      <c r="M4" s="16" t="n">
        <v>1</v>
      </c>
    </row>
    <row r="5">
      <c r="B5" s="15" t="n"/>
      <c r="C5" s="15" t="inlineStr">
        <is>
          <t>P日</t>
        </is>
      </c>
      <c r="D5" s="15" t="n"/>
      <c r="E5" s="15" t="n"/>
      <c r="F5" s="15" t="n"/>
      <c r="G5" s="15" t="inlineStr">
        <is>
          <t>★</t>
        </is>
      </c>
      <c r="H5" s="15" t="inlineStr">
        <is>
          <t>☆</t>
        </is>
      </c>
      <c r="I5" s="16" t="inlineStr">
        <is>
          <t>P日</t>
        </is>
      </c>
      <c r="J5" s="16" t="n"/>
      <c r="K5" s="16" t="n"/>
      <c r="L5" s="41" t="n"/>
      <c r="M5" s="16" t="n">
        <v>0</v>
      </c>
    </row>
    <row r="6">
      <c r="B6" s="15" t="n"/>
      <c r="C6" s="15" t="inlineStr">
        <is>
          <t>PN</t>
        </is>
      </c>
      <c r="D6" s="15" t="n"/>
      <c r="E6" s="15" t="n"/>
      <c r="F6" s="15" t="inlineStr">
        <is>
          <t>★</t>
        </is>
      </c>
      <c r="G6" s="15" t="inlineStr">
        <is>
          <t>☆</t>
        </is>
      </c>
      <c r="H6" s="15" t="inlineStr">
        <is>
          <t>○,◎</t>
        </is>
      </c>
      <c r="I6" s="16" t="inlineStr">
        <is>
          <t>PN</t>
        </is>
      </c>
      <c r="J6" s="16" t="n"/>
      <c r="K6" s="16" t="n"/>
      <c r="L6" s="41" t="n"/>
      <c r="M6" s="16" t="n">
        <v>0</v>
      </c>
    </row>
    <row r="7">
      <c r="B7" s="15" t="n"/>
      <c r="C7" s="15" t="inlineStr">
        <is>
          <t>JSJS</t>
        </is>
      </c>
      <c r="D7" s="15" t="n"/>
      <c r="E7" s="15" t="n"/>
      <c r="F7" s="15" t="n"/>
      <c r="G7" s="15" t="n"/>
      <c r="H7" s="15" t="n"/>
      <c r="I7" s="15" t="inlineStr">
        <is>
          <t>PP</t>
        </is>
      </c>
      <c r="J7" s="15" t="n"/>
      <c r="K7" s="15" t="n"/>
      <c r="L7" s="41" t="n"/>
      <c r="M7" s="15" t="n">
        <v>0</v>
      </c>
    </row>
    <row r="8"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41" t="n"/>
      <c r="M8" s="41" t="n"/>
    </row>
    <row r="9"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41" t="n"/>
      <c r="M9" s="41" t="n"/>
    </row>
    <row r="10"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41" t="n"/>
      <c r="M10" s="41" t="n"/>
    </row>
    <row r="11"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41" t="n"/>
      <c r="M11" s="41" t="n"/>
    </row>
    <row r="12"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41" t="n"/>
      <c r="M12" s="41" t="n"/>
    </row>
    <row r="13">
      <c r="A13" s="5" t="n"/>
      <c r="B13" s="9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zoomScaleNormal="100" workbookViewId="0">
      <selection activeCell="Z8" sqref="Z8:AC8"/>
    </sheetView>
  </sheetViews>
  <sheetFormatPr baseColWidth="8" defaultColWidth="9" defaultRowHeight="18"/>
  <cols>
    <col width="13" bestFit="1" customWidth="1" style="4" min="1" max="1"/>
    <col width="4.375" customWidth="1" style="4" min="2" max="25"/>
    <col width="5.125" customWidth="1" style="4" min="26" max="27"/>
    <col width="5.125" bestFit="1" customWidth="1" style="4" min="28" max="29"/>
    <col width="4.375" customWidth="1" style="4" min="30" max="45"/>
    <col width="5.125" customWidth="1" style="26" min="46" max="51"/>
    <col width="5.125" customWidth="1" style="4" min="52" max="53"/>
    <col width="9" customWidth="1" style="4" min="54" max="16384"/>
  </cols>
  <sheetData>
    <row r="1" ht="38.25" customFormat="1" customHeight="1" s="25">
      <c r="A1" s="46" t="inlineStr">
        <is>
          <t>グループ</t>
        </is>
      </c>
      <c r="B1" s="46" t="inlineStr">
        <is>
          <t>全員</t>
        </is>
      </c>
      <c r="C1" s="81" t="n"/>
      <c r="D1" s="81" t="n"/>
      <c r="E1" s="81" t="n"/>
      <c r="F1" s="81" t="n"/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1" t="n"/>
      <c r="R1" s="81" t="n"/>
      <c r="S1" s="81" t="n"/>
      <c r="T1" s="81" t="n"/>
      <c r="U1" s="80" t="n"/>
      <c r="V1" s="57" t="inlineStr">
        <is>
          <t>熟練１</t>
        </is>
      </c>
      <c r="W1" s="81" t="n"/>
      <c r="X1" s="81" t="n"/>
      <c r="Y1" s="81" t="n"/>
      <c r="Z1" s="83" t="inlineStr">
        <is>
          <t>師長</t>
        </is>
      </c>
      <c r="AA1" s="81" t="n"/>
      <c r="AB1" s="81" t="n"/>
      <c r="AC1" s="80" t="n"/>
      <c r="AD1" s="84" t="inlineStr">
        <is>
          <t>中堅</t>
        </is>
      </c>
      <c r="AE1" s="81" t="n"/>
      <c r="AF1" s="81" t="n"/>
      <c r="AG1" s="80" t="n"/>
      <c r="AH1" s="50" t="inlineStr">
        <is>
          <t>新人</t>
        </is>
      </c>
      <c r="AI1" s="81" t="n"/>
      <c r="AJ1" s="81" t="n"/>
      <c r="AK1" s="80" t="n"/>
      <c r="AL1" s="50" t="inlineStr">
        <is>
          <t>新人１</t>
        </is>
      </c>
      <c r="AM1" s="81" t="n"/>
      <c r="AN1" s="81" t="n"/>
      <c r="AO1" s="80" t="n"/>
      <c r="AP1" s="65" t="inlineStr">
        <is>
          <t>新人２</t>
        </is>
      </c>
      <c r="AQ1" s="81" t="n"/>
      <c r="AR1" s="81" t="n"/>
      <c r="AS1" s="80" t="n"/>
      <c r="AT1" s="46" t="inlineStr">
        <is>
          <t>夜勤</t>
        </is>
      </c>
      <c r="AU1" s="81" t="n"/>
      <c r="AV1" s="81" t="n"/>
      <c r="AW1" s="81" t="n"/>
      <c r="AX1" s="81" t="n"/>
      <c r="AY1" s="81" t="n"/>
      <c r="AZ1" s="81" t="n"/>
      <c r="BA1" s="80" t="n"/>
    </row>
    <row r="2" customFormat="1" s="26">
      <c r="A2" s="20" t="inlineStr">
        <is>
          <t>シフト</t>
        </is>
      </c>
      <c r="B2" s="20" t="inlineStr">
        <is>
          <t>日</t>
        </is>
      </c>
      <c r="C2" s="81" t="n"/>
      <c r="D2" s="81" t="n"/>
      <c r="E2" s="80" t="n"/>
      <c r="F2" s="20" t="inlineStr">
        <is>
          <t>N,J,S</t>
        </is>
      </c>
      <c r="G2" s="81" t="n"/>
      <c r="H2" s="81" t="n"/>
      <c r="I2" s="80" t="n"/>
      <c r="J2" s="20" t="inlineStr">
        <is>
          <t>★,☆</t>
        </is>
      </c>
      <c r="K2" s="81" t="n"/>
      <c r="L2" s="81" t="n"/>
      <c r="M2" s="80" t="n"/>
      <c r="N2" s="20" t="inlineStr">
        <is>
          <t>P</t>
        </is>
      </c>
      <c r="O2" s="81" t="n"/>
      <c r="P2" s="81" t="n"/>
      <c r="Q2" s="80" t="n"/>
      <c r="R2" s="20" t="inlineStr">
        <is>
          <t>N+P+★</t>
        </is>
      </c>
      <c r="S2" s="81" t="n"/>
      <c r="T2" s="81" t="n"/>
      <c r="U2" s="80" t="n"/>
      <c r="V2" s="20" t="inlineStr">
        <is>
          <t>N,J,S</t>
        </is>
      </c>
      <c r="W2" s="81" t="n"/>
      <c r="X2" s="81" t="n"/>
      <c r="Y2" s="80" t="n"/>
      <c r="Z2" s="20" t="inlineStr">
        <is>
          <t>日</t>
        </is>
      </c>
      <c r="AA2" s="81" t="n"/>
      <c r="AB2" s="81" t="n"/>
      <c r="AC2" s="80" t="n"/>
      <c r="AD2" s="20" t="inlineStr">
        <is>
          <t>J,S</t>
        </is>
      </c>
      <c r="AE2" s="81" t="n"/>
      <c r="AF2" s="81" t="n"/>
      <c r="AG2" s="80" t="n"/>
      <c r="AH2" s="20" t="inlineStr">
        <is>
          <t>J,S</t>
        </is>
      </c>
      <c r="AI2" s="81" t="n"/>
      <c r="AJ2" s="81" t="n"/>
      <c r="AK2" s="80" t="n"/>
      <c r="AL2" s="20" t="inlineStr">
        <is>
          <t>J,S</t>
        </is>
      </c>
      <c r="AM2" s="81" t="n"/>
      <c r="AN2" s="81" t="n"/>
      <c r="AO2" s="80" t="n"/>
      <c r="AP2" s="20" t="inlineStr">
        <is>
          <t>J,S</t>
        </is>
      </c>
      <c r="AQ2" s="81" t="n"/>
      <c r="AR2" s="81" t="n"/>
      <c r="AS2" s="80" t="n"/>
      <c r="AT2" s="20" t="inlineStr">
        <is>
          <t>J＋★,S＋☆</t>
        </is>
      </c>
      <c r="AU2" s="81" t="n"/>
      <c r="AV2" s="81" t="n"/>
      <c r="AW2" s="80" t="n"/>
      <c r="AX2" s="20" t="inlineStr">
        <is>
          <t>J＋★,S＋☆</t>
        </is>
      </c>
      <c r="AY2" s="81" t="n"/>
      <c r="AZ2" s="81" t="n"/>
      <c r="BA2" s="80" t="n"/>
    </row>
    <row r="3" customFormat="1" s="26">
      <c r="A3" s="20" t="inlineStr">
        <is>
          <t>人数／点数</t>
        </is>
      </c>
      <c r="B3" s="20" t="inlineStr">
        <is>
          <t>人数</t>
        </is>
      </c>
      <c r="C3" s="81" t="n"/>
      <c r="D3" s="81" t="n"/>
      <c r="E3" s="80" t="n"/>
      <c r="F3" s="20" t="inlineStr">
        <is>
          <t>人数</t>
        </is>
      </c>
      <c r="G3" s="81" t="n"/>
      <c r="H3" s="81" t="n"/>
      <c r="I3" s="80" t="n"/>
      <c r="J3" s="20" t="inlineStr">
        <is>
          <t>人数</t>
        </is>
      </c>
      <c r="K3" s="81" t="n"/>
      <c r="L3" s="81" t="n"/>
      <c r="M3" s="80" t="n"/>
      <c r="N3" s="20" t="inlineStr">
        <is>
          <t>人数</t>
        </is>
      </c>
      <c r="O3" s="81" t="n"/>
      <c r="P3" s="81" t="n"/>
      <c r="Q3" s="80" t="n"/>
      <c r="R3" s="20" t="inlineStr">
        <is>
          <t>人数</t>
        </is>
      </c>
      <c r="S3" s="81" t="n"/>
      <c r="T3" s="81" t="n"/>
      <c r="U3" s="80" t="n"/>
      <c r="V3" s="20" t="inlineStr">
        <is>
          <t>人数</t>
        </is>
      </c>
      <c r="W3" s="81" t="n"/>
      <c r="X3" s="81" t="n"/>
      <c r="Y3" s="80" t="n"/>
      <c r="Z3" s="20" t="inlineStr">
        <is>
          <t>人数</t>
        </is>
      </c>
      <c r="AA3" s="81" t="n"/>
      <c r="AB3" s="81" t="n"/>
      <c r="AC3" s="80" t="n"/>
      <c r="AD3" s="20" t="inlineStr">
        <is>
          <t>人数</t>
        </is>
      </c>
      <c r="AE3" s="81" t="n"/>
      <c r="AF3" s="81" t="n"/>
      <c r="AG3" s="80" t="n"/>
      <c r="AH3" s="20" t="inlineStr">
        <is>
          <t>人数</t>
        </is>
      </c>
      <c r="AI3" s="81" t="n"/>
      <c r="AJ3" s="81" t="n"/>
      <c r="AK3" s="80" t="n"/>
      <c r="AL3" s="20" t="inlineStr">
        <is>
          <t>人数</t>
        </is>
      </c>
      <c r="AM3" s="81" t="n"/>
      <c r="AN3" s="81" t="n"/>
      <c r="AO3" s="80" t="n"/>
      <c r="AP3" s="20" t="inlineStr">
        <is>
          <t>人数</t>
        </is>
      </c>
      <c r="AQ3" s="81" t="n"/>
      <c r="AR3" s="81" t="n"/>
      <c r="AS3" s="80" t="n"/>
      <c r="AT3" s="20" t="inlineStr">
        <is>
          <t>人数</t>
        </is>
      </c>
      <c r="AU3" s="81" t="n"/>
      <c r="AV3" s="81" t="n"/>
      <c r="AW3" s="80" t="n"/>
      <c r="AX3" s="20" t="inlineStr">
        <is>
          <t>点数</t>
        </is>
      </c>
      <c r="AY3" s="81" t="n"/>
      <c r="AZ3" s="81" t="n"/>
      <c r="BA3" s="80" t="n"/>
    </row>
    <row r="4" ht="36" customFormat="1" customHeight="1" s="26">
      <c r="A4" s="20" t="inlineStr">
        <is>
          <t>曜日</t>
        </is>
      </c>
      <c r="B4" s="46" t="inlineStr">
        <is>
          <t>許容最小</t>
        </is>
      </c>
      <c r="C4" s="46" t="inlineStr">
        <is>
          <t>理想最小</t>
        </is>
      </c>
      <c r="D4" s="46" t="inlineStr">
        <is>
          <t>理想最大</t>
        </is>
      </c>
      <c r="E4" s="46" t="inlineStr">
        <is>
          <t>許容最大</t>
        </is>
      </c>
      <c r="F4" s="46" t="inlineStr">
        <is>
          <t>許容最小</t>
        </is>
      </c>
      <c r="G4" s="46" t="inlineStr">
        <is>
          <t>理想最小</t>
        </is>
      </c>
      <c r="H4" s="46" t="inlineStr">
        <is>
          <t>理想最大</t>
        </is>
      </c>
      <c r="I4" s="46" t="inlineStr">
        <is>
          <t>許容最大</t>
        </is>
      </c>
      <c r="J4" s="46" t="inlineStr">
        <is>
          <t>許容最小</t>
        </is>
      </c>
      <c r="K4" s="46" t="inlineStr">
        <is>
          <t>理想最小</t>
        </is>
      </c>
      <c r="L4" s="46" t="inlineStr">
        <is>
          <t>理想最大</t>
        </is>
      </c>
      <c r="M4" s="46" t="inlineStr">
        <is>
          <t>許容最大</t>
        </is>
      </c>
      <c r="N4" s="46" t="inlineStr">
        <is>
          <t>許容最小</t>
        </is>
      </c>
      <c r="O4" s="46" t="inlineStr">
        <is>
          <t>理想最小</t>
        </is>
      </c>
      <c r="P4" s="46" t="inlineStr">
        <is>
          <t>理想最大</t>
        </is>
      </c>
      <c r="Q4" s="46" t="inlineStr">
        <is>
          <t>許容最大</t>
        </is>
      </c>
      <c r="R4" s="46" t="inlineStr">
        <is>
          <t>許容最小</t>
        </is>
      </c>
      <c r="S4" s="46" t="inlineStr">
        <is>
          <t>理想最小</t>
        </is>
      </c>
      <c r="T4" s="46" t="inlineStr">
        <is>
          <t>理想最大</t>
        </is>
      </c>
      <c r="U4" s="46" t="inlineStr">
        <is>
          <t>許容最大</t>
        </is>
      </c>
      <c r="V4" s="46" t="inlineStr">
        <is>
          <t>許容最小</t>
        </is>
      </c>
      <c r="W4" s="46" t="inlineStr">
        <is>
          <t>理想最小</t>
        </is>
      </c>
      <c r="X4" s="46" t="inlineStr">
        <is>
          <t>理想最大</t>
        </is>
      </c>
      <c r="Y4" s="46" t="inlineStr">
        <is>
          <t>許容最大</t>
        </is>
      </c>
      <c r="Z4" s="46" t="inlineStr">
        <is>
          <t>許容最小</t>
        </is>
      </c>
      <c r="AA4" s="46" t="inlineStr">
        <is>
          <t>理想最小</t>
        </is>
      </c>
      <c r="AB4" s="46" t="inlineStr">
        <is>
          <t>理想最大</t>
        </is>
      </c>
      <c r="AC4" s="46" t="inlineStr">
        <is>
          <t>許容最大</t>
        </is>
      </c>
      <c r="AD4" s="46" t="inlineStr">
        <is>
          <t>許容最小</t>
        </is>
      </c>
      <c r="AE4" s="46" t="inlineStr">
        <is>
          <t>理想最小</t>
        </is>
      </c>
      <c r="AF4" s="46" t="inlineStr">
        <is>
          <t>理想最大</t>
        </is>
      </c>
      <c r="AG4" s="46" t="inlineStr">
        <is>
          <t>許容最大</t>
        </is>
      </c>
      <c r="AH4" s="46" t="inlineStr">
        <is>
          <t>許容最小</t>
        </is>
      </c>
      <c r="AI4" s="46" t="inlineStr">
        <is>
          <t>理想最小</t>
        </is>
      </c>
      <c r="AJ4" s="46" t="inlineStr">
        <is>
          <t>理想最大</t>
        </is>
      </c>
      <c r="AK4" s="46" t="inlineStr">
        <is>
          <t>許容最大</t>
        </is>
      </c>
      <c r="AL4" s="46" t="inlineStr">
        <is>
          <t>許容最小</t>
        </is>
      </c>
      <c r="AM4" s="46" t="inlineStr">
        <is>
          <t>理想最小</t>
        </is>
      </c>
      <c r="AN4" s="46" t="inlineStr">
        <is>
          <t>理想最大</t>
        </is>
      </c>
      <c r="AO4" s="46" t="inlineStr">
        <is>
          <t>許容最大</t>
        </is>
      </c>
      <c r="AP4" s="46" t="inlineStr">
        <is>
          <t>許容最小</t>
        </is>
      </c>
      <c r="AQ4" s="46" t="inlineStr">
        <is>
          <t>理想最小</t>
        </is>
      </c>
      <c r="AR4" s="46" t="inlineStr">
        <is>
          <t>理想最大</t>
        </is>
      </c>
      <c r="AS4" s="46" t="inlineStr">
        <is>
          <t>許容最大</t>
        </is>
      </c>
      <c r="AT4" s="46" t="inlineStr">
        <is>
          <t>許容最小</t>
        </is>
      </c>
      <c r="AU4" s="46" t="inlineStr">
        <is>
          <t>理想最小</t>
        </is>
      </c>
      <c r="AV4" s="46" t="inlineStr">
        <is>
          <t>理想最大</t>
        </is>
      </c>
      <c r="AW4" s="46" t="inlineStr">
        <is>
          <t>許容最大</t>
        </is>
      </c>
      <c r="AX4" s="46" t="inlineStr">
        <is>
          <t>許容最小</t>
        </is>
      </c>
      <c r="AY4" s="46" t="inlineStr">
        <is>
          <t>理想最小</t>
        </is>
      </c>
      <c r="AZ4" s="46" t="inlineStr">
        <is>
          <t>理想最大</t>
        </is>
      </c>
      <c r="BA4" s="46" t="inlineStr">
        <is>
          <t>許容最大</t>
        </is>
      </c>
    </row>
    <row r="5">
      <c r="A5" s="20" t="inlineStr">
        <is>
          <t>平日</t>
        </is>
      </c>
      <c r="B5" s="6" t="n"/>
      <c r="C5" s="6" t="n">
        <v>1</v>
      </c>
      <c r="D5" s="6" t="n"/>
      <c r="E5" s="6" t="n"/>
      <c r="F5" s="6" t="n"/>
      <c r="G5" s="6" t="n">
        <v>1</v>
      </c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>
        <v>1</v>
      </c>
      <c r="U5" s="6" t="n"/>
      <c r="V5" s="6" t="n"/>
      <c r="W5" s="6" t="n">
        <v>1</v>
      </c>
      <c r="X5" s="6" t="n">
        <v>1</v>
      </c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  <c r="AL5" s="6" t="n"/>
      <c r="AM5" s="6" t="n"/>
      <c r="AN5" s="6" t="n"/>
      <c r="AO5" s="6" t="n"/>
      <c r="AP5" s="6" t="n"/>
      <c r="AQ5" s="6" t="n"/>
      <c r="AR5" s="6" t="n"/>
      <c r="AS5" s="6" t="n"/>
      <c r="AT5" s="78" t="n"/>
      <c r="AU5" s="78" t="n"/>
      <c r="AV5" s="78" t="n"/>
      <c r="AW5" s="78" t="n"/>
      <c r="AX5" s="78" t="n"/>
      <c r="AY5" s="78" t="n"/>
      <c r="AZ5" s="78" t="n"/>
      <c r="BA5" s="78" t="n"/>
    </row>
    <row r="6">
      <c r="A6" s="20" t="inlineStr">
        <is>
          <t>土日</t>
        </is>
      </c>
      <c r="B6" s="6" t="n"/>
      <c r="C6" s="6" t="n">
        <v>1</v>
      </c>
      <c r="D6" s="6" t="n"/>
      <c r="E6" s="6" t="n"/>
      <c r="F6" s="6" t="n"/>
      <c r="G6" s="6" t="n">
        <v>1</v>
      </c>
      <c r="H6" s="6" t="n">
        <v>1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>
        <v>1</v>
      </c>
      <c r="U6" s="6" t="n"/>
      <c r="V6" s="6" t="n"/>
      <c r="W6" s="6" t="n">
        <v>1</v>
      </c>
      <c r="X6" s="6" t="n">
        <v>1</v>
      </c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  <c r="AL6" s="6" t="n"/>
      <c r="AM6" s="6" t="n"/>
      <c r="AN6" s="6" t="n"/>
      <c r="AO6" s="6" t="n"/>
      <c r="AP6" s="6" t="n"/>
      <c r="AQ6" s="6" t="n"/>
      <c r="AR6" s="6" t="n"/>
      <c r="AS6" s="6" t="n"/>
      <c r="AT6" s="78" t="n"/>
      <c r="AU6" s="78" t="n"/>
      <c r="AV6" s="78" t="n"/>
      <c r="AW6" s="78" t="n"/>
      <c r="AX6" s="78" t="n"/>
      <c r="AY6" s="78" t="n"/>
      <c r="AZ6" s="78" t="n"/>
      <c r="BA6" s="78" t="n"/>
    </row>
    <row r="7">
      <c r="A7" s="20" t="inlineStr">
        <is>
          <t>祝日</t>
        </is>
      </c>
      <c r="B7" s="6" t="n"/>
      <c r="C7" s="6" t="n">
        <v>1</v>
      </c>
      <c r="D7" s="6" t="n"/>
      <c r="E7" s="6" t="n"/>
      <c r="F7" s="6" t="n"/>
      <c r="G7" s="6" t="n">
        <v>1</v>
      </c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>
        <v>1</v>
      </c>
      <c r="U7" s="6" t="n"/>
      <c r="V7" s="6" t="n"/>
      <c r="W7" s="6" t="n">
        <v>1</v>
      </c>
      <c r="X7" s="6" t="n">
        <v>1</v>
      </c>
      <c r="Y7" s="6" t="n"/>
      <c r="Z7" s="6" t="n"/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78" t="n"/>
      <c r="AU7" s="78" t="n"/>
      <c r="AV7" s="78" t="n"/>
      <c r="AW7" s="78" t="n"/>
      <c r="AX7" s="78" t="n"/>
      <c r="AY7" s="78" t="n"/>
      <c r="AZ7" s="78" t="n"/>
      <c r="BA7" s="78" t="n"/>
    </row>
    <row r="8" ht="137.25" customHeight="1" s="79">
      <c r="A8" s="20" t="inlineStr">
        <is>
          <t>説明</t>
        </is>
      </c>
      <c r="B8" s="85" t="n"/>
      <c r="C8" s="81" t="n"/>
      <c r="D8" s="81" t="n"/>
      <c r="E8" s="80" t="n"/>
      <c r="F8" s="85" t="n"/>
      <c r="G8" s="81" t="n"/>
      <c r="H8" s="81" t="n"/>
      <c r="I8" s="80" t="n"/>
      <c r="J8" s="85" t="n"/>
      <c r="K8" s="81" t="n"/>
      <c r="L8" s="81" t="n"/>
      <c r="M8" s="80" t="n"/>
      <c r="N8" s="85" t="n"/>
      <c r="O8" s="81" t="n"/>
      <c r="P8" s="81" t="n"/>
      <c r="Q8" s="80" t="n"/>
      <c r="R8" s="85" t="n"/>
      <c r="S8" s="81" t="n"/>
      <c r="T8" s="81" t="n"/>
      <c r="U8" s="80" t="n"/>
      <c r="V8" s="86" t="inlineStr">
        <is>
          <t>熟練１グループから長日勤，夜勤に1名を割り当てる</t>
        </is>
      </c>
      <c r="W8" s="81" t="n"/>
      <c r="X8" s="81" t="n"/>
      <c r="Y8" s="80" t="n"/>
      <c r="Z8" s="85" t="n"/>
      <c r="AA8" s="81" t="n"/>
      <c r="AB8" s="81" t="n"/>
      <c r="AC8" s="80" t="n"/>
      <c r="AD8" s="86" t="n"/>
      <c r="AE8" s="81" t="n"/>
      <c r="AF8" s="81" t="n"/>
      <c r="AG8" s="80" t="n"/>
      <c r="AH8" s="86" t="n"/>
      <c r="AI8" s="81" t="n"/>
      <c r="AJ8" s="81" t="n"/>
      <c r="AK8" s="80" t="n"/>
      <c r="AL8" s="86" t="n"/>
      <c r="AM8" s="81" t="n"/>
      <c r="AN8" s="81" t="n"/>
      <c r="AO8" s="80" t="n"/>
      <c r="AP8" s="86" t="n"/>
      <c r="AQ8" s="81" t="n"/>
      <c r="AR8" s="81" t="n"/>
      <c r="AS8" s="80" t="n"/>
      <c r="AT8" s="85" t="n"/>
      <c r="AU8" s="81" t="n"/>
      <c r="AV8" s="81" t="n"/>
      <c r="AW8" s="81" t="n"/>
      <c r="AX8" s="81" t="n"/>
      <c r="AY8" s="81" t="n"/>
      <c r="AZ8" s="81" t="n"/>
      <c r="BA8" s="80" t="n"/>
    </row>
  </sheetData>
  <mergeCells count="46">
    <mergeCell ref="R3:U3"/>
    <mergeCell ref="AP2:AS2"/>
    <mergeCell ref="AL8:AO8"/>
    <mergeCell ref="J3:M3"/>
    <mergeCell ref="AX3:BA3"/>
    <mergeCell ref="AH2:AK2"/>
    <mergeCell ref="J2:M2"/>
    <mergeCell ref="Z1:AC1"/>
    <mergeCell ref="AT2:AW2"/>
    <mergeCell ref="R2:U2"/>
    <mergeCell ref="AL1:AO1"/>
    <mergeCell ref="V3:Y3"/>
    <mergeCell ref="R8:U8"/>
    <mergeCell ref="AT8:BA8"/>
    <mergeCell ref="J8:M8"/>
    <mergeCell ref="AD3:AG3"/>
    <mergeCell ref="V2:Y2"/>
    <mergeCell ref="AD8:AG8"/>
    <mergeCell ref="AH3:AK3"/>
    <mergeCell ref="B3:E3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2:E2"/>
    <mergeCell ref="V1:Y1"/>
    <mergeCell ref="N2:Q2"/>
    <mergeCell ref="AD1:AG1"/>
    <mergeCell ref="AX2:BA2"/>
    <mergeCell ref="AP1:AS1"/>
    <mergeCell ref="AH1:AK1"/>
    <mergeCell ref="B8:E8"/>
    <mergeCell ref="N8:Q8"/>
    <mergeCell ref="F8:I8"/>
    <mergeCell ref="Z3:AC3"/>
    <mergeCell ref="F2:I2"/>
    <mergeCell ref="Z8:AC8"/>
    <mergeCell ref="Z2:AC2"/>
    <mergeCell ref="AL3:AO3"/>
    <mergeCell ref="AT1:BA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51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V54"/>
  <sheetViews>
    <sheetView zoomScale="95" zoomScaleNormal="95" workbookViewId="0">
      <pane xSplit="5" ySplit="3" topLeftCell="F4" activePane="bottomRight" state="frozen"/>
      <selection pane="bottomRight" activeCell="E28" sqref="E28"/>
      <selection pane="bottomLeft" activeCell="A4" sqref="A4"/>
      <selection pane="topRight" activeCell="F1" sqref="F1"/>
    </sheetView>
  </sheetViews>
  <sheetFormatPr baseColWidth="8" defaultColWidth="8.875" defaultRowHeight="18"/>
  <cols>
    <col width="5.125" bestFit="1" customWidth="1" style="79" min="1" max="1"/>
    <col width="12.375" bestFit="1" customWidth="1" style="3" min="2" max="2"/>
    <col width="6.625" bestFit="1" customWidth="1" style="3" min="3" max="3"/>
    <col width="9.125" bestFit="1" customWidth="1" style="3" min="4" max="4"/>
    <col width="5.125" bestFit="1" customWidth="1" style="79" min="5" max="5"/>
    <col width="5.125" customWidth="1" style="4" min="6" max="6"/>
    <col width="5.125" customWidth="1" style="31" min="7" max="17"/>
    <col width="4.875" customWidth="1" style="79" min="18" max="18"/>
    <col width="4.875" customWidth="1" style="4" min="19" max="21"/>
    <col width="4.875" customWidth="1" style="79" min="22" max="29"/>
    <col width="7" customWidth="1" style="79" min="30" max="31"/>
    <col width="22.5" customWidth="1" style="79" min="32" max="32"/>
    <col width="5.125" customWidth="1" style="79" min="33" max="48"/>
  </cols>
  <sheetData>
    <row r="1">
      <c r="A1" s="43" t="inlineStr">
        <is>
          <t>番号</t>
        </is>
      </c>
      <c r="B1" s="43" t="inlineStr">
        <is>
          <t>氏名</t>
        </is>
      </c>
      <c r="C1" s="43" t="inlineStr">
        <is>
          <t>職名</t>
        </is>
      </c>
      <c r="D1" s="43" t="inlineStr">
        <is>
          <t>利用者CD</t>
        </is>
      </c>
      <c r="E1" s="69" t="inlineStr">
        <is>
          <t>点数</t>
        </is>
      </c>
      <c r="F1" s="78" t="inlineStr">
        <is>
          <t>グループ設定</t>
        </is>
      </c>
      <c r="G1" s="81" t="n"/>
      <c r="H1" s="81" t="n"/>
      <c r="I1" s="81" t="n"/>
      <c r="J1" s="81" t="n"/>
      <c r="K1" s="81" t="n"/>
      <c r="L1" s="81" t="n"/>
      <c r="M1" s="81" t="n"/>
      <c r="N1" s="81" t="n"/>
      <c r="O1" s="81" t="n"/>
      <c r="P1" s="81" t="n"/>
      <c r="Q1" s="80" t="n"/>
      <c r="R1" s="45" t="inlineStr">
        <is>
          <t>シフト担当回数</t>
        </is>
      </c>
      <c r="S1" s="87" t="n"/>
      <c r="T1" s="87" t="n"/>
      <c r="U1" s="87" t="n"/>
      <c r="V1" s="87" t="n"/>
      <c r="W1" s="87" t="n"/>
      <c r="X1" s="87" t="n"/>
      <c r="Y1" s="87" t="n"/>
      <c r="Z1" s="87" t="n"/>
      <c r="AA1" s="87" t="n"/>
      <c r="AB1" s="87" t="n"/>
      <c r="AC1" s="88" t="n"/>
      <c r="AD1" s="43" t="inlineStr">
        <is>
          <t>ペア設定</t>
        </is>
      </c>
      <c r="AE1" s="80" t="n"/>
      <c r="AF1" s="43" t="inlineStr">
        <is>
          <t>説明</t>
        </is>
      </c>
      <c r="AG1" s="43" t="inlineStr">
        <is>
          <t>担当可能・不可シフト</t>
        </is>
      </c>
      <c r="AH1" s="81" t="n"/>
      <c r="AI1" s="81" t="n"/>
      <c r="AJ1" s="81" t="n"/>
      <c r="AK1" s="81" t="n"/>
      <c r="AL1" s="81" t="n"/>
      <c r="AM1" s="81" t="n"/>
      <c r="AN1" s="81" t="n"/>
      <c r="AO1" s="81" t="n"/>
      <c r="AP1" s="81" t="n"/>
      <c r="AQ1" s="81" t="n"/>
      <c r="AR1" s="81" t="n"/>
      <c r="AS1" s="81" t="n"/>
      <c r="AT1" s="81" t="n"/>
      <c r="AU1" s="81" t="n"/>
      <c r="AV1" s="80" t="n"/>
    </row>
    <row r="2">
      <c r="A2" s="89" t="n"/>
      <c r="B2" s="89" t="n"/>
      <c r="C2" s="89" t="n"/>
      <c r="D2" s="89" t="n"/>
      <c r="E2" s="89" t="n"/>
      <c r="F2" s="90" t="inlineStr">
        <is>
          <t>全員</t>
        </is>
      </c>
      <c r="G2" s="90" t="inlineStr">
        <is>
          <t>師長</t>
        </is>
      </c>
      <c r="H2" s="90" t="inlineStr">
        <is>
          <t>熟練</t>
        </is>
      </c>
      <c r="I2" s="90" t="inlineStr">
        <is>
          <t>熟練１</t>
        </is>
      </c>
      <c r="J2" s="90" t="inlineStr">
        <is>
          <t>熟練２</t>
        </is>
      </c>
      <c r="K2" s="90" t="inlineStr">
        <is>
          <t>中堅</t>
        </is>
      </c>
      <c r="L2" s="90" t="inlineStr">
        <is>
          <t>新人</t>
        </is>
      </c>
      <c r="M2" s="90" t="inlineStr">
        <is>
          <t>新人１</t>
        </is>
      </c>
      <c r="N2" s="90" t="inlineStr">
        <is>
          <t>新人２</t>
        </is>
      </c>
      <c r="O2" s="90" t="inlineStr">
        <is>
          <t>夜勤</t>
        </is>
      </c>
      <c r="P2" s="78" t="n"/>
      <c r="Q2" s="78" t="n"/>
      <c r="R2" s="43" t="inlineStr">
        <is>
          <t>日</t>
        </is>
      </c>
      <c r="S2" s="81" t="n"/>
      <c r="T2" s="81" t="n"/>
      <c r="U2" s="80" t="n"/>
      <c r="V2" s="43" t="inlineStr">
        <is>
          <t>N,J,S</t>
        </is>
      </c>
      <c r="W2" s="81" t="n"/>
      <c r="X2" s="81" t="n"/>
      <c r="Y2" s="80" t="n"/>
      <c r="Z2" s="43" t="inlineStr">
        <is>
          <t>★,☆,A,P</t>
        </is>
      </c>
      <c r="AA2" s="81" t="n"/>
      <c r="AB2" s="81" t="n"/>
      <c r="AC2" s="80" t="n"/>
      <c r="AD2" s="43" t="inlineStr">
        <is>
          <t>推奨ペア</t>
        </is>
      </c>
      <c r="AE2" s="43" t="inlineStr">
        <is>
          <t>禁止ペア</t>
        </is>
      </c>
      <c r="AF2" s="89" t="n"/>
      <c r="AG2" s="43" t="inlineStr">
        <is>
          <t>担当可能なシフト</t>
        </is>
      </c>
      <c r="AH2" s="81" t="n"/>
      <c r="AI2" s="81" t="n"/>
      <c r="AJ2" s="81" t="n"/>
      <c r="AK2" s="81" t="n"/>
      <c r="AL2" s="81" t="n"/>
      <c r="AM2" s="81" t="n"/>
      <c r="AN2" s="80" t="n"/>
      <c r="AO2" s="43" t="inlineStr">
        <is>
          <t>担当不可なシフト</t>
        </is>
      </c>
      <c r="AP2" s="81" t="n"/>
      <c r="AQ2" s="81" t="n"/>
      <c r="AR2" s="81" t="n"/>
      <c r="AS2" s="81" t="n"/>
      <c r="AT2" s="81" t="n"/>
      <c r="AU2" s="81" t="n"/>
      <c r="AV2" s="80" t="n"/>
    </row>
    <row r="3" ht="36" customFormat="1" customHeight="1" s="38">
      <c r="A3" s="82" t="n"/>
      <c r="B3" s="82" t="n"/>
      <c r="C3" s="82" t="n"/>
      <c r="D3" s="82" t="n"/>
      <c r="E3" s="82" t="n"/>
      <c r="F3" s="82" t="n"/>
      <c r="G3" s="82" t="n"/>
      <c r="H3" s="82" t="n"/>
      <c r="I3" s="82" t="n"/>
      <c r="J3" s="82" t="n"/>
      <c r="K3" s="82" t="n"/>
      <c r="L3" s="82" t="n"/>
      <c r="M3" s="82" t="n"/>
      <c r="N3" s="82" t="n"/>
      <c r="O3" s="82" t="n"/>
      <c r="P3" s="82" t="n"/>
      <c r="Q3" s="82" t="n"/>
      <c r="R3" s="36" t="inlineStr">
        <is>
          <t>許容最小</t>
        </is>
      </c>
      <c r="S3" s="37" t="inlineStr">
        <is>
          <t>理想最小</t>
        </is>
      </c>
      <c r="T3" s="37" t="inlineStr">
        <is>
          <t>理想最大</t>
        </is>
      </c>
      <c r="U3" s="37" t="inlineStr">
        <is>
          <t>許容最大</t>
        </is>
      </c>
      <c r="V3" s="36" t="inlineStr">
        <is>
          <t>許容最小</t>
        </is>
      </c>
      <c r="W3" s="37" t="inlineStr">
        <is>
          <t>理想最小</t>
        </is>
      </c>
      <c r="X3" s="37" t="inlineStr">
        <is>
          <t>理想最大</t>
        </is>
      </c>
      <c r="Y3" s="37" t="inlineStr">
        <is>
          <t>許容最大</t>
        </is>
      </c>
      <c r="Z3" s="36" t="inlineStr">
        <is>
          <t>許容最小</t>
        </is>
      </c>
      <c r="AA3" s="37" t="inlineStr">
        <is>
          <t>理想最小</t>
        </is>
      </c>
      <c r="AB3" s="37" t="inlineStr">
        <is>
          <t>理想最大</t>
        </is>
      </c>
      <c r="AC3" s="37" t="inlineStr">
        <is>
          <t>許容最大</t>
        </is>
      </c>
      <c r="AD3" s="82" t="n"/>
      <c r="AE3" s="82" t="n"/>
      <c r="AF3" s="82" t="n"/>
      <c r="AG3" s="36" t="inlineStr">
        <is>
          <t>日</t>
        </is>
      </c>
      <c r="AH3" s="36" t="inlineStr">
        <is>
          <t>月</t>
        </is>
      </c>
      <c r="AI3" s="36" t="inlineStr">
        <is>
          <t>火</t>
        </is>
      </c>
      <c r="AJ3" s="36" t="inlineStr">
        <is>
          <t>水</t>
        </is>
      </c>
      <c r="AK3" s="36" t="inlineStr">
        <is>
          <t>木</t>
        </is>
      </c>
      <c r="AL3" s="36" t="inlineStr">
        <is>
          <t>金</t>
        </is>
      </c>
      <c r="AM3" s="36" t="inlineStr">
        <is>
          <t>土</t>
        </is>
      </c>
      <c r="AN3" s="36" t="inlineStr">
        <is>
          <t>祝</t>
        </is>
      </c>
      <c r="AO3" s="36" t="inlineStr">
        <is>
          <t>日</t>
        </is>
      </c>
      <c r="AP3" s="36" t="inlineStr">
        <is>
          <t>月</t>
        </is>
      </c>
      <c r="AQ3" s="36" t="inlineStr">
        <is>
          <t>火</t>
        </is>
      </c>
      <c r="AR3" s="36" t="inlineStr">
        <is>
          <t>水</t>
        </is>
      </c>
      <c r="AS3" s="36" t="inlineStr">
        <is>
          <t>木</t>
        </is>
      </c>
      <c r="AT3" s="36" t="inlineStr">
        <is>
          <t>金</t>
        </is>
      </c>
      <c r="AU3" s="36" t="inlineStr">
        <is>
          <t>土</t>
        </is>
      </c>
      <c r="AV3" s="36" t="inlineStr">
        <is>
          <t>祝</t>
        </is>
      </c>
    </row>
    <row r="4" ht="18.75" customHeight="1" s="79">
      <c r="A4" s="1" t="n">
        <v>1</v>
      </c>
      <c r="B4" s="7" t="inlineStr">
        <is>
          <t>Kimberly Moore</t>
        </is>
      </c>
      <c r="C4" s="7" t="inlineStr">
        <is>
          <t>師長</t>
        </is>
      </c>
      <c r="D4" s="7" t="inlineStr">
        <is>
          <t>59057</t>
        </is>
      </c>
      <c r="E4" s="17" t="n">
        <v>2</v>
      </c>
      <c r="F4" s="78" t="inlineStr">
        <is>
          <t>●</t>
        </is>
      </c>
      <c r="G4" s="33" t="n"/>
      <c r="H4" s="33" t="n"/>
      <c r="I4" s="78" t="inlineStr">
        <is>
          <t>●</t>
        </is>
      </c>
      <c r="J4" s="34" t="n"/>
      <c r="K4" s="34" t="n"/>
      <c r="L4" s="34" t="n"/>
      <c r="M4" s="34" t="n"/>
      <c r="N4" s="34" t="n"/>
      <c r="O4" s="34" t="n"/>
      <c r="P4" s="34" t="n"/>
      <c r="Q4" s="33" t="n"/>
      <c r="R4" s="1" t="n"/>
      <c r="S4" s="1" t="n"/>
      <c r="T4" s="8" t="n"/>
      <c r="U4" s="8" t="n"/>
      <c r="V4" s="17" t="n"/>
      <c r="W4" s="17" t="n">
        <v>2</v>
      </c>
      <c r="X4" s="17" t="n">
        <v>2</v>
      </c>
      <c r="Y4" s="17" t="n"/>
      <c r="Z4" s="17" t="n"/>
      <c r="AA4" s="17" t="n"/>
      <c r="AB4" s="17" t="n">
        <v>0</v>
      </c>
      <c r="AC4" s="17" t="n">
        <v>0</v>
      </c>
      <c r="AD4" s="22" t="n"/>
      <c r="AE4" s="22" t="n"/>
      <c r="AF4" s="22" t="inlineStr">
        <is>
          <t>火曜日のN、Jは各勤務１回まで</t>
        </is>
      </c>
      <c r="AG4" s="16" t="n"/>
      <c r="AH4" s="16" t="n"/>
      <c r="AI4" s="16" t="n"/>
      <c r="AJ4" s="16" t="n"/>
      <c r="AK4" s="16" t="n"/>
      <c r="AL4" s="16" t="n"/>
      <c r="AM4" s="16" t="n"/>
      <c r="AN4" s="16" t="n"/>
      <c r="AO4" s="16" t="n"/>
      <c r="AP4" s="16" t="n"/>
      <c r="AQ4" s="40" t="n"/>
      <c r="AR4" s="16" t="n"/>
      <c r="AS4" s="16" t="n"/>
      <c r="AT4" s="16" t="n"/>
      <c r="AU4" s="16" t="n"/>
      <c r="AV4" s="16" t="n"/>
    </row>
    <row r="5">
      <c r="A5" s="1" t="n">
        <v>2</v>
      </c>
      <c r="B5" s="7" t="inlineStr">
        <is>
          <t>Jennifer Collins</t>
        </is>
      </c>
      <c r="C5" s="7" t="inlineStr">
        <is>
          <t>師長</t>
        </is>
      </c>
      <c r="D5" s="7" t="inlineStr">
        <is>
          <t>25051</t>
        </is>
      </c>
      <c r="E5" s="17" t="n">
        <v>2</v>
      </c>
      <c r="F5" s="78" t="inlineStr">
        <is>
          <t>●</t>
        </is>
      </c>
      <c r="G5" s="78" t="n"/>
      <c r="H5" s="78" t="n"/>
      <c r="I5" s="78" t="inlineStr">
        <is>
          <t>●</t>
        </is>
      </c>
      <c r="J5" s="16" t="n"/>
      <c r="K5" s="16" t="n"/>
      <c r="L5" s="16" t="n"/>
      <c r="M5" s="16" t="n"/>
      <c r="N5" s="16" t="n"/>
      <c r="O5" s="78" t="n"/>
      <c r="P5" s="16" t="n"/>
      <c r="Q5" s="78" t="n"/>
      <c r="R5" s="1" t="n"/>
      <c r="S5" s="1" t="n"/>
      <c r="T5" s="8" t="n"/>
      <c r="U5" s="8" t="n"/>
      <c r="V5" s="17" t="n"/>
      <c r="W5" s="17" t="n">
        <v>1</v>
      </c>
      <c r="X5" s="17" t="n">
        <v>2</v>
      </c>
      <c r="Y5" s="17" t="n"/>
      <c r="Z5" s="17" t="n"/>
      <c r="AA5" s="17" t="n"/>
      <c r="AB5" s="17" t="n">
        <v>0</v>
      </c>
      <c r="AC5" s="17" t="n">
        <v>0</v>
      </c>
      <c r="AD5" s="22" t="n"/>
      <c r="AE5" s="22" t="n"/>
      <c r="AF5" s="22" t="inlineStr">
        <is>
          <t>火曜日のN、Jは各勤務１回まで</t>
        </is>
      </c>
      <c r="AG5" s="15" t="n"/>
      <c r="AH5" s="15" t="n"/>
      <c r="AI5" s="15" t="n"/>
      <c r="AJ5" s="15" t="n"/>
      <c r="AK5" s="15" t="n"/>
      <c r="AL5" s="15" t="n"/>
      <c r="AM5" s="15" t="n"/>
      <c r="AN5" s="15" t="n"/>
      <c r="AO5" s="15" t="n"/>
      <c r="AP5" s="15" t="n"/>
      <c r="AQ5" s="40" t="n"/>
      <c r="AR5" s="15" t="n"/>
      <c r="AS5" s="15" t="n"/>
      <c r="AT5" s="15" t="n"/>
      <c r="AU5" s="15" t="n"/>
      <c r="AV5" s="15" t="n"/>
    </row>
    <row r="6" ht="18.75" customHeight="1" s="79">
      <c r="A6" s="1" t="n">
        <v>3</v>
      </c>
      <c r="B6" s="7" t="inlineStr">
        <is>
          <t>Caroline Guzman</t>
        </is>
      </c>
      <c r="C6" s="7" t="inlineStr">
        <is>
          <t>師長</t>
        </is>
      </c>
      <c r="D6" s="7" t="inlineStr">
        <is>
          <t>60074</t>
        </is>
      </c>
      <c r="E6" s="17" t="n">
        <v>2</v>
      </c>
      <c r="F6" s="78" t="inlineStr">
        <is>
          <t>●</t>
        </is>
      </c>
      <c r="G6" s="34" t="n"/>
      <c r="H6" s="33" t="n"/>
      <c r="I6" s="78" t="inlineStr">
        <is>
          <t>●</t>
        </is>
      </c>
      <c r="J6" s="34" t="n"/>
      <c r="K6" s="34" t="n"/>
      <c r="L6" s="33" t="n"/>
      <c r="M6" s="33" t="n"/>
      <c r="N6" s="34" t="n"/>
      <c r="O6" s="33" t="n"/>
      <c r="P6" s="34" t="n"/>
      <c r="Q6" s="33" t="n"/>
      <c r="R6" s="1" t="n"/>
      <c r="S6" s="1" t="n"/>
      <c r="T6" s="8" t="n"/>
      <c r="U6" s="8" t="n"/>
      <c r="V6" s="17" t="n"/>
      <c r="W6" s="17" t="n">
        <v>2</v>
      </c>
      <c r="X6" s="17" t="n">
        <v>2</v>
      </c>
      <c r="Y6" s="17" t="n"/>
      <c r="Z6" s="17" t="n"/>
      <c r="AA6" s="17" t="n"/>
      <c r="AB6" s="17" t="n">
        <v>0</v>
      </c>
      <c r="AC6" s="17" t="n">
        <v>0</v>
      </c>
      <c r="AD6" s="22" t="n"/>
      <c r="AE6" s="22" t="n"/>
      <c r="AF6" s="22" t="inlineStr">
        <is>
          <t>火曜日のN、Jは各勤務１回まで</t>
        </is>
      </c>
      <c r="AG6" s="15" t="n"/>
      <c r="AH6" s="15" t="n"/>
      <c r="AI6" s="15" t="n"/>
      <c r="AJ6" s="15" t="n"/>
      <c r="AK6" s="15" t="n"/>
      <c r="AL6" s="15" t="n"/>
      <c r="AM6" s="15" t="n"/>
      <c r="AN6" s="15" t="n"/>
      <c r="AO6" s="15" t="n"/>
      <c r="AP6" s="15" t="n"/>
      <c r="AQ6" s="40" t="n"/>
      <c r="AR6" s="15" t="n"/>
      <c r="AS6" s="15" t="n"/>
      <c r="AT6" s="15" t="n"/>
      <c r="AU6" s="15" t="n"/>
      <c r="AV6" s="15" t="n"/>
    </row>
    <row r="7">
      <c r="A7" s="1" t="n">
        <v>4</v>
      </c>
      <c r="B7" s="7" t="inlineStr">
        <is>
          <t>Jacob Anderson</t>
        </is>
      </c>
      <c r="C7" s="7" t="inlineStr">
        <is>
          <t>師長</t>
        </is>
      </c>
      <c r="D7" s="7" t="inlineStr">
        <is>
          <t>21672</t>
        </is>
      </c>
      <c r="E7" s="17" t="n">
        <v>2</v>
      </c>
      <c r="F7" s="78" t="inlineStr">
        <is>
          <t>●</t>
        </is>
      </c>
      <c r="G7" s="78" t="n"/>
      <c r="H7" s="78" t="n"/>
      <c r="I7" s="78" t="inlineStr">
        <is>
          <t>●</t>
        </is>
      </c>
      <c r="J7" s="16" t="n"/>
      <c r="K7" s="16" t="n"/>
      <c r="L7" s="16" t="n"/>
      <c r="M7" s="16" t="n"/>
      <c r="N7" s="16" t="n"/>
      <c r="O7" s="16" t="n"/>
      <c r="P7" s="16" t="n"/>
      <c r="Q7" s="78" t="n"/>
      <c r="R7" s="1" t="n"/>
      <c r="S7" s="1" t="n"/>
      <c r="T7" s="8" t="n"/>
      <c r="U7" s="8" t="n"/>
      <c r="V7" s="17" t="n"/>
      <c r="W7" s="17" t="n">
        <v>1</v>
      </c>
      <c r="X7" s="17" t="n">
        <v>2</v>
      </c>
      <c r="Y7" s="17" t="n"/>
      <c r="Z7" s="17" t="n"/>
      <c r="AA7" s="17" t="n"/>
      <c r="AB7" s="17" t="n">
        <v>0</v>
      </c>
      <c r="AC7" s="17" t="n">
        <v>0</v>
      </c>
      <c r="AD7" s="22" t="n"/>
      <c r="AE7" s="22" t="n"/>
      <c r="AF7" s="22" t="inlineStr">
        <is>
          <t>火曜日のN、Jは各勤務１回まで</t>
        </is>
      </c>
      <c r="AG7" s="15" t="n"/>
      <c r="AH7" s="15" t="n"/>
      <c r="AI7" s="15" t="n"/>
      <c r="AJ7" s="15" t="n"/>
      <c r="AK7" s="15" t="n"/>
      <c r="AL7" s="15" t="n"/>
      <c r="AM7" s="15" t="n"/>
      <c r="AN7" s="15" t="n"/>
      <c r="AO7" s="15" t="n"/>
      <c r="AP7" s="15" t="n"/>
      <c r="AQ7" s="40" t="n"/>
      <c r="AR7" s="15" t="n"/>
      <c r="AS7" s="15" t="n"/>
      <c r="AT7" s="15" t="n"/>
      <c r="AU7" s="15" t="n"/>
      <c r="AV7" s="15" t="n"/>
    </row>
    <row r="8" customFormat="1" s="9">
      <c r="A8" s="1" t="n">
        <v>5</v>
      </c>
      <c r="B8" s="7" t="inlineStr">
        <is>
          <t>Lindsay Johnson</t>
        </is>
      </c>
      <c r="C8" s="7" t="inlineStr">
        <is>
          <t>師長</t>
        </is>
      </c>
      <c r="D8" s="7" t="inlineStr">
        <is>
          <t>54248</t>
        </is>
      </c>
      <c r="E8" s="17" t="n">
        <v>2</v>
      </c>
      <c r="F8" s="78" t="inlineStr">
        <is>
          <t>●</t>
        </is>
      </c>
      <c r="G8" s="78" t="n"/>
      <c r="H8" s="78" t="n"/>
      <c r="I8" s="78" t="inlineStr">
        <is>
          <t>●</t>
        </is>
      </c>
      <c r="J8" s="16" t="n"/>
      <c r="K8" s="16" t="n"/>
      <c r="L8" s="16" t="n"/>
      <c r="M8" s="16" t="n"/>
      <c r="N8" s="16" t="n"/>
      <c r="O8" s="78" t="n"/>
      <c r="P8" s="16" t="n"/>
      <c r="Q8" s="16" t="n"/>
      <c r="R8" s="1" t="n"/>
      <c r="S8" s="1" t="n"/>
      <c r="T8" s="8" t="n"/>
      <c r="U8" s="8" t="n"/>
      <c r="V8" s="17" t="n"/>
      <c r="W8" s="17" t="n">
        <v>1</v>
      </c>
      <c r="X8" s="17" t="n">
        <v>2</v>
      </c>
      <c r="Y8" s="17" t="n"/>
      <c r="Z8" s="17" t="n"/>
      <c r="AA8" s="17" t="n"/>
      <c r="AB8" s="17" t="n">
        <v>0</v>
      </c>
      <c r="AC8" s="17" t="n">
        <v>0</v>
      </c>
      <c r="AD8" s="22" t="n"/>
      <c r="AE8" s="22" t="n"/>
      <c r="AF8" s="22" t="inlineStr">
        <is>
          <t>火曜日のN、Jは各勤務１回まで</t>
        </is>
      </c>
      <c r="AG8" s="39" t="n"/>
      <c r="AH8" s="39" t="n"/>
      <c r="AI8" s="39" t="n"/>
      <c r="AJ8" s="39" t="n"/>
      <c r="AK8" s="39" t="n"/>
      <c r="AL8" s="39" t="n"/>
      <c r="AM8" s="39" t="n"/>
      <c r="AN8" s="39" t="n"/>
      <c r="AO8" s="39" t="n"/>
      <c r="AP8" s="39" t="n"/>
      <c r="AQ8" s="40" t="n"/>
      <c r="AR8" s="39" t="n"/>
      <c r="AS8" s="39" t="n"/>
      <c r="AT8" s="39" t="n"/>
      <c r="AU8" s="39" t="n"/>
      <c r="AV8" s="39" t="n"/>
    </row>
    <row r="9" ht="18.75" customHeight="1" s="79">
      <c r="A9" s="1" t="n">
        <v>6</v>
      </c>
      <c r="B9" s="7" t="inlineStr">
        <is>
          <t>Terry Woods</t>
        </is>
      </c>
      <c r="C9" s="7" t="inlineStr">
        <is>
          <t>師長</t>
        </is>
      </c>
      <c r="D9" s="7" t="inlineStr">
        <is>
          <t>30037</t>
        </is>
      </c>
      <c r="E9" s="17" t="n">
        <v>2</v>
      </c>
      <c r="F9" s="78" t="inlineStr">
        <is>
          <t>●</t>
        </is>
      </c>
      <c r="G9" s="33" t="n"/>
      <c r="H9" s="33" t="n"/>
      <c r="I9" s="78" t="inlineStr">
        <is>
          <t>●</t>
        </is>
      </c>
      <c r="J9" s="34" t="n"/>
      <c r="K9" s="34" t="n"/>
      <c r="L9" s="34" t="n"/>
      <c r="M9" s="34" t="n"/>
      <c r="N9" s="34" t="n"/>
      <c r="O9" s="33" t="n"/>
      <c r="P9" s="34" t="n"/>
      <c r="Q9" s="34" t="n"/>
      <c r="R9" s="1" t="n"/>
      <c r="S9" s="1" t="n"/>
      <c r="T9" s="8" t="n"/>
      <c r="U9" s="8" t="n"/>
      <c r="V9" s="17" t="n"/>
      <c r="W9" s="17" t="n">
        <v>2</v>
      </c>
      <c r="X9" s="17" t="n">
        <v>2</v>
      </c>
      <c r="Y9" s="17" t="n"/>
      <c r="Z9" s="17" t="n"/>
      <c r="AA9" s="17" t="n"/>
      <c r="AB9" s="17" t="n">
        <v>0</v>
      </c>
      <c r="AC9" s="17" t="n">
        <v>0</v>
      </c>
      <c r="AD9" s="22" t="n"/>
      <c r="AE9" s="22" t="n"/>
      <c r="AF9" s="22" t="inlineStr">
        <is>
          <t>火曜日のN、Jは各勤務１回まで</t>
        </is>
      </c>
      <c r="AG9" s="15" t="n"/>
      <c r="AH9" s="15" t="n"/>
      <c r="AI9" s="15" t="n"/>
      <c r="AJ9" s="15" t="n"/>
      <c r="AK9" s="15" t="n"/>
      <c r="AL9" s="15" t="n"/>
      <c r="AM9" s="15" t="n"/>
      <c r="AN9" s="15" t="n"/>
      <c r="AO9" s="15" t="n"/>
      <c r="AP9" s="15" t="n"/>
      <c r="AQ9" s="40" t="n"/>
      <c r="AR9" s="15" t="n"/>
      <c r="AS9" s="15" t="n"/>
      <c r="AT9" s="15" t="n"/>
      <c r="AU9" s="15" t="n"/>
      <c r="AV9" s="15" t="n"/>
    </row>
    <row r="10">
      <c r="A10" s="1" t="n">
        <v>7</v>
      </c>
      <c r="B10" s="7" t="inlineStr">
        <is>
          <t>Christopher Ellis</t>
        </is>
      </c>
      <c r="C10" s="7" t="inlineStr">
        <is>
          <t>師長</t>
        </is>
      </c>
      <c r="D10" s="7" t="inlineStr">
        <is>
          <t>00659</t>
        </is>
      </c>
      <c r="E10" s="17" t="n">
        <v>2</v>
      </c>
      <c r="F10" s="78" t="inlineStr">
        <is>
          <t>●</t>
        </is>
      </c>
      <c r="G10" s="78" t="n"/>
      <c r="H10" s="78" t="n"/>
      <c r="I10" s="78" t="inlineStr">
        <is>
          <t>●</t>
        </is>
      </c>
      <c r="J10" s="16" t="n"/>
      <c r="K10" s="16" t="n"/>
      <c r="L10" s="16" t="n"/>
      <c r="M10" s="16" t="n"/>
      <c r="N10" s="16" t="n"/>
      <c r="O10" s="78" t="n"/>
      <c r="P10" s="16" t="n"/>
      <c r="Q10" s="16" t="n"/>
      <c r="R10" s="1" t="n"/>
      <c r="S10" s="1" t="n"/>
      <c r="T10" s="8" t="n"/>
      <c r="U10" s="8" t="n"/>
      <c r="V10" s="17" t="n"/>
      <c r="W10" s="17" t="n">
        <v>1</v>
      </c>
      <c r="X10" s="17" t="n">
        <v>2</v>
      </c>
      <c r="Y10" s="17" t="n"/>
      <c r="Z10" s="17" t="n"/>
      <c r="AA10" s="17" t="n"/>
      <c r="AB10" s="17" t="n">
        <v>0</v>
      </c>
      <c r="AC10" s="17" t="n">
        <v>0</v>
      </c>
      <c r="AD10" s="22" t="n"/>
      <c r="AE10" s="22" t="n"/>
      <c r="AF10" s="22" t="inlineStr">
        <is>
          <t>火曜日のN、Jは各勤務１回まで</t>
        </is>
      </c>
      <c r="AG10" s="15" t="n"/>
      <c r="AH10" s="15" t="n"/>
      <c r="AI10" s="15" t="n"/>
      <c r="AJ10" s="15" t="n"/>
      <c r="AK10" s="15" t="n"/>
      <c r="AL10" s="15" t="n"/>
      <c r="AM10" s="15" t="n"/>
      <c r="AN10" s="15" t="n"/>
      <c r="AO10" s="15" t="n"/>
      <c r="AP10" s="15" t="n"/>
      <c r="AQ10" s="40" t="n"/>
      <c r="AR10" s="15" t="n"/>
      <c r="AS10" s="15" t="n"/>
      <c r="AT10" s="15" t="n"/>
      <c r="AU10" s="15" t="n"/>
      <c r="AV10" s="15" t="n"/>
    </row>
    <row r="11" ht="18.75" customFormat="1" customHeight="1" s="9">
      <c r="A11" s="1" t="n">
        <v>8</v>
      </c>
      <c r="B11" s="7" t="inlineStr">
        <is>
          <t>William Holmes</t>
        </is>
      </c>
      <c r="C11" s="7" t="inlineStr">
        <is>
          <t>師長</t>
        </is>
      </c>
      <c r="D11" s="7" t="inlineStr">
        <is>
          <t>39562</t>
        </is>
      </c>
      <c r="E11" s="17" t="n">
        <v>2</v>
      </c>
      <c r="F11" s="78" t="inlineStr">
        <is>
          <t>●</t>
        </is>
      </c>
      <c r="G11" s="32" t="n"/>
      <c r="H11" s="33" t="n"/>
      <c r="I11" s="78" t="inlineStr">
        <is>
          <t>●</t>
        </is>
      </c>
      <c r="J11" s="34" t="n"/>
      <c r="K11" s="34" t="n"/>
      <c r="L11" s="34" t="n"/>
      <c r="M11" s="34" t="n"/>
      <c r="N11" s="34" t="n"/>
      <c r="O11" s="33" t="n"/>
      <c r="P11" s="34" t="n"/>
      <c r="Q11" s="34" t="n"/>
      <c r="R11" s="1" t="n"/>
      <c r="S11" s="1" t="n"/>
      <c r="T11" s="8" t="n"/>
      <c r="U11" s="8" t="n"/>
      <c r="V11" s="17" t="n"/>
      <c r="W11" s="17" t="n">
        <v>2</v>
      </c>
      <c r="X11" s="17" t="n">
        <v>2</v>
      </c>
      <c r="Y11" s="17" t="n"/>
      <c r="Z11" s="17" t="n"/>
      <c r="AA11" s="17" t="n"/>
      <c r="AB11" s="17" t="n">
        <v>0</v>
      </c>
      <c r="AC11" s="17" t="n">
        <v>0</v>
      </c>
      <c r="AD11" s="22" t="n"/>
      <c r="AE11" s="22" t="n"/>
      <c r="AF11" s="22" t="inlineStr">
        <is>
          <t>火曜日のN、Jは各勤務１回まで</t>
        </is>
      </c>
      <c r="AG11" s="16" t="n"/>
      <c r="AH11" s="16" t="n"/>
      <c r="AI11" s="16" t="n"/>
      <c r="AJ11" s="16" t="n"/>
      <c r="AK11" s="16" t="n"/>
      <c r="AL11" s="16" t="n"/>
      <c r="AM11" s="16" t="n"/>
      <c r="AN11" s="16" t="n"/>
      <c r="AO11" s="16" t="n"/>
      <c r="AP11" s="16" t="n"/>
      <c r="AQ11" s="40" t="n"/>
      <c r="AR11" s="16" t="n"/>
      <c r="AS11" s="16" t="n"/>
      <c r="AT11" s="16" t="n"/>
      <c r="AU11" s="16" t="n"/>
      <c r="AV11" s="16" t="n"/>
    </row>
    <row r="12">
      <c r="A12" s="1" t="n">
        <v>9</v>
      </c>
      <c r="B12" s="7" t="inlineStr">
        <is>
          <t>Melody Smith</t>
        </is>
      </c>
      <c r="C12" s="7" t="inlineStr">
        <is>
          <t>師長</t>
        </is>
      </c>
      <c r="D12" s="7" t="inlineStr">
        <is>
          <t>76825</t>
        </is>
      </c>
      <c r="E12" s="17" t="n">
        <v>2</v>
      </c>
      <c r="F12" s="78" t="inlineStr">
        <is>
          <t>●</t>
        </is>
      </c>
      <c r="G12" s="78" t="n"/>
      <c r="H12" s="78" t="n"/>
      <c r="I12" s="78" t="inlineStr">
        <is>
          <t>●</t>
        </is>
      </c>
      <c r="J12" s="16" t="n"/>
      <c r="K12" s="16" t="n"/>
      <c r="L12" s="16" t="n"/>
      <c r="M12" s="16" t="n"/>
      <c r="N12" s="16" t="n"/>
      <c r="O12" s="78" t="n"/>
      <c r="P12" s="16" t="n"/>
      <c r="Q12" s="16" t="n"/>
      <c r="R12" s="1" t="n"/>
      <c r="S12" s="1" t="n"/>
      <c r="T12" s="8" t="n"/>
      <c r="U12" s="8" t="n"/>
      <c r="V12" s="17" t="n"/>
      <c r="W12" s="17" t="n">
        <v>1</v>
      </c>
      <c r="X12" s="17" t="n">
        <v>2</v>
      </c>
      <c r="Y12" s="17" t="n"/>
      <c r="Z12" s="17" t="n"/>
      <c r="AA12" s="17" t="n"/>
      <c r="AB12" s="17" t="n">
        <v>0</v>
      </c>
      <c r="AC12" s="17" t="n">
        <v>0</v>
      </c>
      <c r="AD12" s="22" t="n"/>
      <c r="AE12" s="22" t="n"/>
      <c r="AF12" s="22" t="inlineStr">
        <is>
          <t>火曜日のN、Jは各勤務１回まで</t>
        </is>
      </c>
      <c r="AG12" s="16" t="n"/>
      <c r="AH12" s="16" t="n"/>
      <c r="AI12" s="16" t="n"/>
      <c r="AJ12" s="16" t="n"/>
      <c r="AK12" s="16" t="n"/>
      <c r="AL12" s="16" t="n"/>
      <c r="AM12" s="16" t="n"/>
      <c r="AN12" s="16" t="n"/>
      <c r="AO12" s="16" t="n"/>
      <c r="AP12" s="16" t="n"/>
      <c r="AQ12" s="16" t="n"/>
      <c r="AR12" s="16" t="n"/>
      <c r="AS12" s="16" t="n"/>
      <c r="AT12" s="16" t="n"/>
      <c r="AU12" s="16" t="n"/>
      <c r="AV12" s="16" t="n"/>
    </row>
    <row r="13" customFormat="1" s="9">
      <c r="A13" s="1" t="n">
        <v>10</v>
      </c>
      <c r="B13" s="7" t="inlineStr">
        <is>
          <t>Joseph Wise</t>
        </is>
      </c>
      <c r="C13" s="7" t="inlineStr">
        <is>
          <t>師長</t>
        </is>
      </c>
      <c r="D13" s="7" t="inlineStr">
        <is>
          <t>37518</t>
        </is>
      </c>
      <c r="E13" s="17" t="n">
        <v>2</v>
      </c>
      <c r="F13" s="78" t="inlineStr">
        <is>
          <t>●</t>
        </is>
      </c>
      <c r="G13" s="78" t="n"/>
      <c r="H13" s="78" t="n"/>
      <c r="I13" s="78" t="inlineStr">
        <is>
          <t>●</t>
        </is>
      </c>
      <c r="J13" s="16" t="n"/>
      <c r="K13" s="16" t="n"/>
      <c r="L13" s="16" t="n"/>
      <c r="M13" s="16" t="n"/>
      <c r="N13" s="16" t="n"/>
      <c r="O13" s="78" t="n"/>
      <c r="P13" s="16" t="n"/>
      <c r="Q13" s="16" t="n"/>
      <c r="R13" s="1" t="n"/>
      <c r="S13" s="1" t="n"/>
      <c r="T13" s="8" t="n"/>
      <c r="U13" s="8" t="n"/>
      <c r="V13" s="17" t="n"/>
      <c r="W13" s="17" t="n">
        <v>1</v>
      </c>
      <c r="X13" s="17" t="n">
        <v>2</v>
      </c>
      <c r="Y13" s="17" t="n"/>
      <c r="Z13" s="17" t="n"/>
      <c r="AA13" s="17" t="n"/>
      <c r="AB13" s="17" t="n">
        <v>0</v>
      </c>
      <c r="AC13" s="17" t="n">
        <v>0</v>
      </c>
      <c r="AD13" s="22" t="n"/>
      <c r="AE13" s="22" t="n"/>
      <c r="AF13" s="22" t="inlineStr">
        <is>
          <t>火曜日のN、Jは各勤務１回まで</t>
        </is>
      </c>
      <c r="AG13" s="16" t="n"/>
      <c r="AH13" s="16" t="n"/>
      <c r="AI13" s="16" t="n"/>
      <c r="AJ13" s="16" t="n"/>
      <c r="AK13" s="16" t="n"/>
      <c r="AL13" s="16" t="n"/>
      <c r="AM13" s="16" t="n"/>
      <c r="AN13" s="16" t="n"/>
      <c r="AO13" s="16" t="n"/>
      <c r="AP13" s="16" t="n"/>
      <c r="AQ13" s="16" t="n"/>
      <c r="AR13" s="16" t="n"/>
      <c r="AS13" s="16" t="n"/>
      <c r="AT13" s="16" t="n"/>
      <c r="AU13" s="16" t="n"/>
      <c r="AV13" s="16" t="n"/>
    </row>
    <row r="14">
      <c r="A14" s="1" t="n">
        <v>11</v>
      </c>
      <c r="B14" s="7" t="inlineStr">
        <is>
          <t>Julie Lee</t>
        </is>
      </c>
      <c r="C14" s="7" t="inlineStr">
        <is>
          <t>師長</t>
        </is>
      </c>
      <c r="D14" s="7" t="inlineStr">
        <is>
          <t>73965</t>
        </is>
      </c>
      <c r="E14" s="17" t="n">
        <v>2</v>
      </c>
      <c r="F14" s="78" t="inlineStr">
        <is>
          <t>●</t>
        </is>
      </c>
      <c r="G14" s="78" t="n"/>
      <c r="H14" s="78" t="n"/>
      <c r="I14" s="78" t="inlineStr">
        <is>
          <t>●</t>
        </is>
      </c>
      <c r="J14" s="16" t="n"/>
      <c r="K14" s="16" t="n"/>
      <c r="L14" s="16" t="n"/>
      <c r="M14" s="16" t="n"/>
      <c r="N14" s="16" t="n"/>
      <c r="O14" s="78" t="n"/>
      <c r="P14" s="16" t="n"/>
      <c r="Q14" s="16" t="n"/>
      <c r="R14" s="1" t="n"/>
      <c r="S14" s="1" t="n"/>
      <c r="T14" s="8" t="n"/>
      <c r="U14" s="8" t="n"/>
      <c r="V14" s="17" t="n"/>
      <c r="W14" s="17" t="n">
        <v>1</v>
      </c>
      <c r="X14" s="17" t="n">
        <v>2</v>
      </c>
      <c r="Y14" s="17" t="n"/>
      <c r="Z14" s="17" t="n"/>
      <c r="AA14" s="17" t="n"/>
      <c r="AB14" s="17" t="n">
        <v>0</v>
      </c>
      <c r="AC14" s="17" t="n">
        <v>0</v>
      </c>
      <c r="AD14" s="22" t="n"/>
      <c r="AE14" s="22" t="n"/>
      <c r="AF14" s="22" t="inlineStr">
        <is>
          <t>火曜日のN、Jは各勤務１回まで</t>
        </is>
      </c>
      <c r="AG14" s="16" t="n"/>
      <c r="AH14" s="16" t="n"/>
      <c r="AI14" s="16" t="n"/>
      <c r="AJ14" s="16" t="n"/>
      <c r="AK14" s="16" t="n"/>
      <c r="AL14" s="16" t="n"/>
      <c r="AM14" s="16" t="n"/>
      <c r="AN14" s="16" t="n"/>
      <c r="AO14" s="16" t="n"/>
      <c r="AP14" s="16" t="n"/>
      <c r="AQ14" s="16" t="n"/>
      <c r="AR14" s="16" t="n"/>
      <c r="AS14" s="16" t="n"/>
      <c r="AT14" s="16" t="n"/>
      <c r="AU14" s="16" t="n"/>
      <c r="AV14" s="16" t="n"/>
    </row>
    <row r="15" customFormat="1" s="9">
      <c r="A15" s="1" t="n">
        <v>12</v>
      </c>
      <c r="B15" s="7" t="inlineStr">
        <is>
          <t>Thomas Choi</t>
        </is>
      </c>
      <c r="C15" s="7" t="inlineStr">
        <is>
          <t>師長</t>
        </is>
      </c>
      <c r="D15" s="7" t="inlineStr">
        <is>
          <t>11628</t>
        </is>
      </c>
      <c r="E15" s="17" t="n">
        <v>2</v>
      </c>
      <c r="F15" s="78" t="inlineStr">
        <is>
          <t>●</t>
        </is>
      </c>
      <c r="G15" s="78" t="n"/>
      <c r="H15" s="78" t="n"/>
      <c r="I15" s="78" t="inlineStr">
        <is>
          <t>●</t>
        </is>
      </c>
      <c r="J15" s="16" t="n"/>
      <c r="K15" s="16" t="n"/>
      <c r="L15" s="16" t="n"/>
      <c r="M15" s="16" t="n"/>
      <c r="N15" s="16" t="n"/>
      <c r="O15" s="78" t="n"/>
      <c r="P15" s="16" t="n"/>
      <c r="Q15" s="16" t="n"/>
      <c r="R15" s="1" t="n"/>
      <c r="S15" s="1" t="n"/>
      <c r="T15" s="8" t="n"/>
      <c r="U15" s="8" t="n"/>
      <c r="V15" s="17" t="n"/>
      <c r="W15" s="17" t="n">
        <v>1</v>
      </c>
      <c r="X15" s="17" t="n">
        <v>2</v>
      </c>
      <c r="Y15" s="17" t="n"/>
      <c r="Z15" s="17" t="n"/>
      <c r="AA15" s="17" t="n"/>
      <c r="AB15" s="17" t="n">
        <v>0</v>
      </c>
      <c r="AC15" s="17" t="n">
        <v>0</v>
      </c>
      <c r="AD15" s="22" t="n"/>
      <c r="AE15" s="22" t="n"/>
      <c r="AF15" s="22" t="inlineStr">
        <is>
          <t>火曜日のN、Jは各勤務１回まで</t>
        </is>
      </c>
      <c r="AG15" s="16" t="n"/>
      <c r="AH15" s="16" t="n"/>
      <c r="AI15" s="16" t="n"/>
      <c r="AJ15" s="16" t="n"/>
      <c r="AK15" s="16" t="n"/>
      <c r="AL15" s="16" t="n"/>
      <c r="AM15" s="16" t="n"/>
      <c r="AN15" s="16" t="n"/>
      <c r="AO15" s="16" t="n"/>
      <c r="AP15" s="16" t="n"/>
      <c r="AQ15" s="16" t="n"/>
      <c r="AR15" s="16" t="n"/>
      <c r="AS15" s="16" t="n"/>
      <c r="AT15" s="16" t="n"/>
      <c r="AU15" s="16" t="n"/>
      <c r="AV15" s="16" t="n"/>
    </row>
    <row r="16">
      <c r="A16" s="1" t="n">
        <v>13</v>
      </c>
      <c r="B16" s="7" t="inlineStr">
        <is>
          <t>Kristy Thomas</t>
        </is>
      </c>
      <c r="C16" s="7" t="inlineStr">
        <is>
          <t>師長</t>
        </is>
      </c>
      <c r="D16" s="7" t="inlineStr">
        <is>
          <t>89539</t>
        </is>
      </c>
      <c r="E16" s="17" t="n">
        <v>2</v>
      </c>
      <c r="F16" s="78" t="inlineStr">
        <is>
          <t>●</t>
        </is>
      </c>
      <c r="G16" s="78" t="n"/>
      <c r="H16" s="78" t="n"/>
      <c r="I16" s="78" t="inlineStr">
        <is>
          <t>●</t>
        </is>
      </c>
      <c r="J16" s="16" t="n"/>
      <c r="K16" s="16" t="n"/>
      <c r="L16" s="16" t="n"/>
      <c r="M16" s="16" t="n"/>
      <c r="N16" s="16" t="n"/>
      <c r="O16" s="78" t="n"/>
      <c r="P16" s="16" t="n"/>
      <c r="Q16" s="16" t="n"/>
      <c r="R16" s="1" t="n"/>
      <c r="S16" s="1" t="n"/>
      <c r="T16" s="8" t="n"/>
      <c r="U16" s="8" t="n"/>
      <c r="V16" s="17" t="n"/>
      <c r="W16" s="17" t="n">
        <v>1</v>
      </c>
      <c r="X16" s="17" t="n">
        <v>2</v>
      </c>
      <c r="Y16" s="17" t="n"/>
      <c r="Z16" s="17" t="n"/>
      <c r="AA16" s="17" t="n"/>
      <c r="AB16" s="17" t="n">
        <v>0</v>
      </c>
      <c r="AC16" s="17" t="n">
        <v>0</v>
      </c>
      <c r="AD16" s="22" t="n"/>
      <c r="AE16" s="22" t="n"/>
      <c r="AF16" s="22" t="inlineStr">
        <is>
          <t>火曜日のN、Jは各勤務１回まで</t>
        </is>
      </c>
      <c r="AG16" s="16" t="n"/>
      <c r="AH16" s="16" t="n"/>
      <c r="AI16" s="16" t="n"/>
      <c r="AJ16" s="16" t="n"/>
      <c r="AK16" s="16" t="n"/>
      <c r="AL16" s="16" t="n"/>
      <c r="AM16" s="16" t="n"/>
      <c r="AN16" s="16" t="n"/>
      <c r="AO16" s="16" t="n"/>
      <c r="AP16" s="16" t="n"/>
      <c r="AQ16" s="16" t="n"/>
      <c r="AR16" s="16" t="n"/>
      <c r="AS16" s="16" t="n"/>
      <c r="AT16" s="16" t="n"/>
      <c r="AU16" s="16" t="n"/>
      <c r="AV16" s="16" t="n"/>
    </row>
    <row r="17">
      <c r="A17" s="1" t="n">
        <v>14</v>
      </c>
      <c r="B17" s="7" t="inlineStr">
        <is>
          <t>Alex Le</t>
        </is>
      </c>
      <c r="C17" s="7" t="inlineStr">
        <is>
          <t>師長</t>
        </is>
      </c>
      <c r="D17" s="7" t="inlineStr">
        <is>
          <t>45856</t>
        </is>
      </c>
      <c r="E17" s="17" t="n">
        <v>1</v>
      </c>
      <c r="F17" s="78" t="inlineStr">
        <is>
          <t>●</t>
        </is>
      </c>
      <c r="G17" s="33" t="n"/>
      <c r="H17" s="33" t="n"/>
      <c r="I17" s="34" t="n"/>
      <c r="J17" s="34" t="n"/>
      <c r="K17" s="33" t="n"/>
      <c r="L17" s="34" t="n"/>
      <c r="M17" s="34" t="n"/>
      <c r="N17" s="34" t="n"/>
      <c r="O17" s="33" t="n"/>
      <c r="P17" s="34" t="n"/>
      <c r="Q17" s="34" t="n"/>
      <c r="R17" s="1" t="n"/>
      <c r="S17" s="1" t="n"/>
      <c r="T17" s="8" t="n"/>
      <c r="U17" s="8" t="n"/>
      <c r="V17" s="17" t="n"/>
      <c r="W17" s="17" t="n">
        <v>0</v>
      </c>
      <c r="X17" s="17" t="n">
        <v>0</v>
      </c>
      <c r="Y17" s="17" t="n"/>
      <c r="Z17" s="17" t="n"/>
      <c r="AA17" s="17" t="n"/>
      <c r="AB17" s="17" t="n">
        <v>0</v>
      </c>
      <c r="AC17" s="17" t="n">
        <v>0</v>
      </c>
      <c r="AD17" s="22" t="n"/>
      <c r="AE17" s="22" t="n"/>
      <c r="AF17" s="22" t="n"/>
      <c r="AG17" s="16" t="n"/>
      <c r="AH17" s="16" t="n"/>
      <c r="AI17" s="16" t="n"/>
      <c r="AJ17" s="16" t="n"/>
      <c r="AK17" s="16" t="n"/>
      <c r="AL17" s="16" t="n"/>
      <c r="AM17" s="16" t="n"/>
      <c r="AN17" s="16" t="n"/>
      <c r="AO17" s="16" t="n"/>
      <c r="AP17" s="16" t="n"/>
      <c r="AQ17" s="16" t="n"/>
      <c r="AR17" s="16" t="n"/>
      <c r="AS17" s="16" t="n"/>
      <c r="AT17" s="16" t="n"/>
      <c r="AU17" s="16" t="n"/>
      <c r="AV17" s="16" t="n"/>
    </row>
    <row r="18">
      <c r="A18" s="1" t="n">
        <v>15</v>
      </c>
      <c r="B18" s="7" t="inlineStr">
        <is>
          <t>Austin Jones</t>
        </is>
      </c>
      <c r="C18" s="7" t="inlineStr">
        <is>
          <t>師長</t>
        </is>
      </c>
      <c r="D18" s="7" t="inlineStr">
        <is>
          <t>71143</t>
        </is>
      </c>
      <c r="E18" s="17" t="n">
        <v>1</v>
      </c>
      <c r="F18" s="78" t="inlineStr">
        <is>
          <t>●</t>
        </is>
      </c>
      <c r="G18" s="33" t="n"/>
      <c r="H18" s="33" t="n"/>
      <c r="I18" s="34" t="n"/>
      <c r="J18" s="34" t="n"/>
      <c r="K18" s="33" t="n"/>
      <c r="L18" s="34" t="n"/>
      <c r="M18" s="34" t="n"/>
      <c r="N18" s="34" t="n"/>
      <c r="O18" s="33" t="n"/>
      <c r="P18" s="34" t="n"/>
      <c r="Q18" s="34" t="n"/>
      <c r="R18" s="1" t="n"/>
      <c r="S18" s="1" t="n"/>
      <c r="T18" s="8" t="n"/>
      <c r="U18" s="8" t="n"/>
      <c r="V18" s="17" t="n"/>
      <c r="W18" s="17" t="n">
        <v>0</v>
      </c>
      <c r="X18" s="17" t="n">
        <v>0</v>
      </c>
      <c r="Y18" s="17" t="n"/>
      <c r="Z18" s="17" t="n"/>
      <c r="AA18" s="17" t="n"/>
      <c r="AB18" s="17" t="n">
        <v>0</v>
      </c>
      <c r="AC18" s="17" t="n">
        <v>0</v>
      </c>
      <c r="AD18" s="22" t="n"/>
      <c r="AE18" s="22" t="n"/>
      <c r="AF18" s="22" t="n"/>
      <c r="AG18" s="16" t="n"/>
      <c r="AH18" s="16" t="n"/>
      <c r="AI18" s="16" t="n"/>
      <c r="AJ18" s="16" t="n"/>
      <c r="AK18" s="16" t="n"/>
      <c r="AL18" s="16" t="n"/>
      <c r="AM18" s="16" t="n"/>
      <c r="AN18" s="16" t="n"/>
      <c r="AO18" s="16" t="n"/>
      <c r="AP18" s="16" t="n"/>
      <c r="AQ18" s="16" t="n"/>
      <c r="AR18" s="16" t="n"/>
      <c r="AS18" s="16" t="n"/>
      <c r="AT18" s="16" t="n"/>
      <c r="AU18" s="16" t="n"/>
      <c r="AV18" s="16" t="n"/>
    </row>
    <row r="19">
      <c r="A19" s="1" t="n">
        <v>16</v>
      </c>
      <c r="B19" s="7" t="inlineStr">
        <is>
          <t>Brandy Pham</t>
        </is>
      </c>
      <c r="C19" s="7" t="inlineStr">
        <is>
          <t>師長</t>
        </is>
      </c>
      <c r="D19" s="7" t="inlineStr">
        <is>
          <t>04506</t>
        </is>
      </c>
      <c r="E19" s="17" t="n">
        <v>2</v>
      </c>
      <c r="F19" s="78" t="inlineStr">
        <is>
          <t>●</t>
        </is>
      </c>
      <c r="G19" s="78" t="n"/>
      <c r="H19" s="78" t="n"/>
      <c r="I19" s="78" t="inlineStr">
        <is>
          <t>●</t>
        </is>
      </c>
      <c r="J19" s="16" t="n"/>
      <c r="K19" s="78" t="n"/>
      <c r="L19" s="16" t="n"/>
      <c r="M19" s="16" t="n"/>
      <c r="N19" s="16" t="n"/>
      <c r="O19" s="78" t="n"/>
      <c r="P19" s="16" t="n"/>
      <c r="Q19" s="16" t="n"/>
      <c r="R19" s="1" t="n"/>
      <c r="S19" s="1" t="n"/>
      <c r="T19" s="8" t="n"/>
      <c r="U19" s="8" t="n"/>
      <c r="V19" s="17" t="n"/>
      <c r="W19" s="17" t="n">
        <v>1</v>
      </c>
      <c r="X19" s="17" t="n">
        <v>2</v>
      </c>
      <c r="Y19" s="17" t="n"/>
      <c r="Z19" s="17" t="n"/>
      <c r="AA19" s="17" t="n"/>
      <c r="AB19" s="17" t="n">
        <v>0</v>
      </c>
      <c r="AC19" s="17" t="n">
        <v>0</v>
      </c>
      <c r="AD19" s="27" t="n"/>
      <c r="AE19" s="22" t="n"/>
      <c r="AF19" s="22" t="inlineStr">
        <is>
          <t>火曜日のN、Jは各勤務１回まで</t>
        </is>
      </c>
      <c r="AG19" s="16" t="n"/>
      <c r="AH19" s="16" t="n"/>
      <c r="AI19" s="16" t="n"/>
      <c r="AJ19" s="16" t="n"/>
      <c r="AK19" s="16" t="n"/>
      <c r="AL19" s="16" t="n"/>
      <c r="AM19" s="16" t="n"/>
      <c r="AN19" s="16" t="n"/>
      <c r="AO19" s="16" t="n"/>
      <c r="AP19" s="16" t="n"/>
      <c r="AQ19" s="16" t="n"/>
      <c r="AR19" s="16" t="n"/>
      <c r="AS19" s="16" t="n"/>
      <c r="AT19" s="16" t="n"/>
      <c r="AU19" s="16" t="n"/>
      <c r="AV19" s="16" t="n"/>
    </row>
    <row r="20">
      <c r="A20" s="1" t="n">
        <v>17</v>
      </c>
      <c r="B20" s="7" t="inlineStr">
        <is>
          <t>Ralph Silva</t>
        </is>
      </c>
      <c r="C20" s="7" t="inlineStr">
        <is>
          <t>師長</t>
        </is>
      </c>
      <c r="D20" s="7" t="inlineStr">
        <is>
          <t>68750</t>
        </is>
      </c>
      <c r="E20" s="17" t="n">
        <v>2</v>
      </c>
      <c r="F20" s="78" t="inlineStr">
        <is>
          <t>●</t>
        </is>
      </c>
      <c r="G20" s="78" t="n"/>
      <c r="H20" s="78" t="n"/>
      <c r="I20" s="78" t="inlineStr">
        <is>
          <t>●</t>
        </is>
      </c>
      <c r="J20" s="16" t="n"/>
      <c r="K20" s="78" t="n"/>
      <c r="L20" s="16" t="n"/>
      <c r="M20" s="16" t="n"/>
      <c r="N20" s="16" t="n"/>
      <c r="O20" s="78" t="n"/>
      <c r="P20" s="16" t="n"/>
      <c r="Q20" s="16" t="n"/>
      <c r="R20" s="1" t="n"/>
      <c r="S20" s="1" t="n"/>
      <c r="T20" s="8" t="n"/>
      <c r="U20" s="8" t="n"/>
      <c r="V20" s="17" t="n"/>
      <c r="W20" s="17" t="n">
        <v>1</v>
      </c>
      <c r="X20" s="17" t="n">
        <v>2</v>
      </c>
      <c r="Y20" s="17" t="n"/>
      <c r="Z20" s="17" t="n"/>
      <c r="AA20" s="17" t="n"/>
      <c r="AB20" s="17" t="n">
        <v>0</v>
      </c>
      <c r="AC20" s="17" t="n">
        <v>0</v>
      </c>
      <c r="AD20" s="22" t="n"/>
      <c r="AE20" s="22" t="n"/>
      <c r="AF20" s="22" t="inlineStr">
        <is>
          <t>火曜日のN、Jは各勤務１回まで</t>
        </is>
      </c>
      <c r="AG20" s="16" t="n"/>
      <c r="AH20" s="16" t="n"/>
      <c r="AI20" s="16" t="n"/>
      <c r="AJ20" s="16" t="n"/>
      <c r="AK20" s="16" t="n"/>
      <c r="AL20" s="16" t="n"/>
      <c r="AM20" s="16" t="n"/>
      <c r="AN20" s="16" t="n"/>
      <c r="AO20" s="16" t="n"/>
      <c r="AP20" s="16" t="n"/>
      <c r="AQ20" s="16" t="n"/>
      <c r="AR20" s="16" t="n"/>
      <c r="AS20" s="16" t="n"/>
      <c r="AT20" s="16" t="n"/>
      <c r="AU20" s="16" t="n"/>
      <c r="AV20" s="16" t="n"/>
    </row>
    <row r="21">
      <c r="A21" s="1" t="n">
        <v>18</v>
      </c>
      <c r="B21" s="7" t="inlineStr">
        <is>
          <t>Stacy Garrett</t>
        </is>
      </c>
      <c r="C21" s="7" t="inlineStr">
        <is>
          <t>師長</t>
        </is>
      </c>
      <c r="D21" s="7" t="inlineStr">
        <is>
          <t>75311</t>
        </is>
      </c>
      <c r="E21" s="17" t="n">
        <v>2</v>
      </c>
      <c r="F21" s="78" t="inlineStr">
        <is>
          <t>●</t>
        </is>
      </c>
      <c r="G21" s="78" t="n"/>
      <c r="H21" s="78" t="n"/>
      <c r="I21" s="78" t="inlineStr">
        <is>
          <t>●</t>
        </is>
      </c>
      <c r="J21" s="16" t="n"/>
      <c r="K21" s="78" t="n"/>
      <c r="L21" s="16" t="n"/>
      <c r="M21" s="16" t="n"/>
      <c r="N21" s="16" t="n"/>
      <c r="O21" s="78" t="n"/>
      <c r="P21" s="16" t="n"/>
      <c r="Q21" s="16" t="n"/>
      <c r="R21" s="1" t="n"/>
      <c r="S21" s="1" t="n"/>
      <c r="T21" s="8" t="n"/>
      <c r="U21" s="8" t="n"/>
      <c r="V21" s="17" t="n"/>
      <c r="W21" s="17" t="n">
        <v>1</v>
      </c>
      <c r="X21" s="17" t="n">
        <v>2</v>
      </c>
      <c r="Y21" s="17" t="n"/>
      <c r="Z21" s="17" t="n"/>
      <c r="AA21" s="17" t="n"/>
      <c r="AB21" s="17" t="n">
        <v>0</v>
      </c>
      <c r="AC21" s="17" t="n">
        <v>0</v>
      </c>
      <c r="AD21" s="22" t="n"/>
      <c r="AE21" s="22" t="n"/>
      <c r="AF21" s="22" t="inlineStr">
        <is>
          <t>火曜日のN、Jは各勤務１回まで</t>
        </is>
      </c>
      <c r="AG21" s="16" t="n"/>
      <c r="AH21" s="16" t="n"/>
      <c r="AI21" s="16" t="n"/>
      <c r="AJ21" s="16" t="n"/>
      <c r="AK21" s="16" t="n"/>
      <c r="AL21" s="16" t="n"/>
      <c r="AM21" s="16" t="n"/>
      <c r="AN21" s="16" t="n"/>
      <c r="AO21" s="16" t="n"/>
      <c r="AP21" s="16" t="n"/>
      <c r="AQ21" s="16" t="n"/>
      <c r="AR21" s="16" t="n"/>
      <c r="AS21" s="16" t="n"/>
      <c r="AT21" s="16" t="n"/>
      <c r="AU21" s="16" t="n"/>
      <c r="AV21" s="16" t="n"/>
    </row>
    <row r="22">
      <c r="A22" s="1" t="n">
        <v>19</v>
      </c>
      <c r="B22" s="7" t="inlineStr">
        <is>
          <t>Bruce Banks</t>
        </is>
      </c>
      <c r="C22" s="7" t="inlineStr">
        <is>
          <t>師長</t>
        </is>
      </c>
      <c r="D22" s="7" t="inlineStr">
        <is>
          <t>43703</t>
        </is>
      </c>
      <c r="E22" s="17" t="n">
        <v>2</v>
      </c>
      <c r="F22" s="78" t="inlineStr">
        <is>
          <t>●</t>
        </is>
      </c>
      <c r="G22" s="78" t="n"/>
      <c r="H22" s="78" t="n"/>
      <c r="I22" s="78" t="inlineStr">
        <is>
          <t>●</t>
        </is>
      </c>
      <c r="J22" s="16" t="n"/>
      <c r="K22" s="16" t="n"/>
      <c r="L22" s="78" t="n"/>
      <c r="M22" s="78" t="n"/>
      <c r="N22" s="16" t="n"/>
      <c r="O22" s="78" t="n"/>
      <c r="P22" s="16" t="n"/>
      <c r="Q22" s="16" t="n"/>
      <c r="R22" s="1" t="n"/>
      <c r="S22" s="1" t="n"/>
      <c r="T22" s="8" t="n"/>
      <c r="U22" s="8" t="n"/>
      <c r="V22" s="17" t="n"/>
      <c r="W22" s="17" t="n">
        <v>1</v>
      </c>
      <c r="X22" s="17" t="n">
        <v>2</v>
      </c>
      <c r="Y22" s="17" t="n"/>
      <c r="Z22" s="17" t="n"/>
      <c r="AA22" s="17" t="n"/>
      <c r="AB22" s="17" t="n">
        <v>0</v>
      </c>
      <c r="AC22" s="17" t="n">
        <v>0</v>
      </c>
      <c r="AD22" s="22" t="n"/>
      <c r="AE22" s="22" t="n"/>
      <c r="AF22" s="22" t="inlineStr">
        <is>
          <t>火曜日のN、Jは各勤務１回まで</t>
        </is>
      </c>
      <c r="AG22" s="16" t="n"/>
      <c r="AH22" s="16" t="n"/>
      <c r="AI22" s="16" t="n"/>
      <c r="AJ22" s="16" t="n"/>
      <c r="AK22" s="16" t="n"/>
      <c r="AL22" s="16" t="n"/>
      <c r="AM22" s="16" t="n"/>
      <c r="AN22" s="16" t="n"/>
      <c r="AO22" s="16" t="n"/>
      <c r="AP22" s="16" t="n"/>
      <c r="AQ22" s="16" t="n"/>
      <c r="AR22" s="16" t="n"/>
      <c r="AS22" s="16" t="n"/>
      <c r="AT22" s="16" t="n"/>
      <c r="AU22" s="16" t="n"/>
      <c r="AV22" s="16" t="n"/>
    </row>
    <row r="23">
      <c r="A23" s="1" t="n">
        <v>20</v>
      </c>
      <c r="B23" s="7" t="inlineStr">
        <is>
          <t>Tony Johnson</t>
        </is>
      </c>
      <c r="C23" s="7" t="inlineStr">
        <is>
          <t>師長</t>
        </is>
      </c>
      <c r="D23" s="7" t="inlineStr">
        <is>
          <t>84868</t>
        </is>
      </c>
      <c r="E23" s="17" t="n">
        <v>2</v>
      </c>
      <c r="F23" s="78" t="inlineStr">
        <is>
          <t>●</t>
        </is>
      </c>
      <c r="G23" s="78" t="n"/>
      <c r="H23" s="78" t="n"/>
      <c r="I23" s="78" t="inlineStr">
        <is>
          <t>●</t>
        </is>
      </c>
      <c r="J23" s="16" t="n"/>
      <c r="K23" s="16" t="n"/>
      <c r="L23" s="78" t="n"/>
      <c r="M23" s="78" t="n"/>
      <c r="N23" s="16" t="n"/>
      <c r="O23" s="78" t="n"/>
      <c r="P23" s="16" t="n"/>
      <c r="Q23" s="16" t="n"/>
      <c r="R23" s="1" t="n"/>
      <c r="S23" s="1" t="n"/>
      <c r="T23" s="8" t="n"/>
      <c r="U23" s="8" t="n"/>
      <c r="V23" s="17" t="n"/>
      <c r="W23" s="17" t="n">
        <v>1</v>
      </c>
      <c r="X23" s="17" t="n">
        <v>2</v>
      </c>
      <c r="Y23" s="17" t="n"/>
      <c r="Z23" s="17" t="n"/>
      <c r="AA23" s="17" t="n"/>
      <c r="AB23" s="17" t="n">
        <v>0</v>
      </c>
      <c r="AC23" s="17" t="n">
        <v>0</v>
      </c>
      <c r="AD23" s="22" t="n"/>
      <c r="AE23" s="22" t="n"/>
      <c r="AF23" s="22" t="inlineStr">
        <is>
          <t>火曜日のN、Jは各勤務１回まで</t>
        </is>
      </c>
      <c r="AG23" s="16" t="n"/>
      <c r="AH23" s="16" t="n"/>
      <c r="AI23" s="16" t="n"/>
      <c r="AJ23" s="16" t="n"/>
      <c r="AK23" s="16" t="n"/>
      <c r="AL23" s="16" t="n"/>
      <c r="AM23" s="16" t="n"/>
      <c r="AN23" s="16" t="n"/>
      <c r="AO23" s="16" t="n"/>
      <c r="AP23" s="16" t="n"/>
      <c r="AQ23" s="16" t="n"/>
      <c r="AR23" s="16" t="n"/>
      <c r="AS23" s="16" t="n"/>
      <c r="AT23" s="16" t="n"/>
      <c r="AU23" s="16" t="n"/>
      <c r="AV23" s="16" t="n"/>
    </row>
    <row r="24">
      <c r="A24" s="1" t="n">
        <v>21</v>
      </c>
      <c r="B24" s="7" t="inlineStr">
        <is>
          <t>Brenda Ford</t>
        </is>
      </c>
      <c r="C24" s="7" t="inlineStr">
        <is>
          <t>師長</t>
        </is>
      </c>
      <c r="D24" s="7" t="inlineStr">
        <is>
          <t>52985</t>
        </is>
      </c>
      <c r="E24" s="17" t="n">
        <v>2</v>
      </c>
      <c r="F24" s="78" t="inlineStr">
        <is>
          <t>●</t>
        </is>
      </c>
      <c r="G24" s="78" t="n"/>
      <c r="H24" s="78" t="n"/>
      <c r="I24" s="78" t="inlineStr">
        <is>
          <t>●</t>
        </is>
      </c>
      <c r="J24" s="16" t="n"/>
      <c r="K24" s="16" t="n"/>
      <c r="L24" s="78" t="n"/>
      <c r="M24" s="78" t="n"/>
      <c r="N24" s="16" t="n"/>
      <c r="O24" s="78" t="n"/>
      <c r="P24" s="16" t="n"/>
      <c r="Q24" s="16" t="n"/>
      <c r="R24" s="1" t="n"/>
      <c r="S24" s="1" t="n"/>
      <c r="T24" s="8" t="n"/>
      <c r="U24" s="8" t="n"/>
      <c r="V24" s="17" t="n"/>
      <c r="W24" s="17" t="n">
        <v>1</v>
      </c>
      <c r="X24" s="17" t="n">
        <v>2</v>
      </c>
      <c r="Y24" s="17" t="n"/>
      <c r="Z24" s="17" t="n"/>
      <c r="AA24" s="17" t="n"/>
      <c r="AB24" s="17" t="n">
        <v>0</v>
      </c>
      <c r="AC24" s="17" t="n">
        <v>0</v>
      </c>
      <c r="AD24" s="22" t="n"/>
      <c r="AE24" s="22" t="n"/>
      <c r="AF24" s="22" t="inlineStr">
        <is>
          <t>火曜日のN、Jは各勤務１回まで</t>
        </is>
      </c>
      <c r="AG24" s="16" t="n"/>
      <c r="AH24" s="16" t="n"/>
      <c r="AI24" s="16" t="n"/>
      <c r="AJ24" s="16" t="n"/>
      <c r="AK24" s="16" t="n"/>
      <c r="AL24" s="16" t="n"/>
      <c r="AM24" s="16" t="n"/>
      <c r="AN24" s="16" t="n"/>
      <c r="AO24" s="16" t="n"/>
      <c r="AP24" s="16" t="n"/>
      <c r="AQ24" s="16" t="n"/>
      <c r="AR24" s="16" t="n"/>
      <c r="AS24" s="16" t="n"/>
      <c r="AT24" s="16" t="n"/>
      <c r="AU24" s="16" t="n"/>
      <c r="AV24" s="16" t="n"/>
    </row>
    <row r="25">
      <c r="A25" s="1" t="n">
        <v>22</v>
      </c>
      <c r="B25" s="7" t="inlineStr">
        <is>
          <t>Ashley Pham</t>
        </is>
      </c>
      <c r="C25" s="7" t="inlineStr">
        <is>
          <t>師長</t>
        </is>
      </c>
      <c r="D25" s="7" t="inlineStr">
        <is>
          <t>51916</t>
        </is>
      </c>
      <c r="E25" s="17" t="n">
        <v>5</v>
      </c>
      <c r="F25" s="78" t="inlineStr">
        <is>
          <t>●</t>
        </is>
      </c>
      <c r="G25" s="78" t="n"/>
      <c r="H25" s="78" t="n"/>
      <c r="I25" s="78" t="inlineStr">
        <is>
          <t>●</t>
        </is>
      </c>
      <c r="J25" s="16" t="n"/>
      <c r="K25" s="16" t="n"/>
      <c r="L25" s="78" t="n"/>
      <c r="M25" s="78" t="n"/>
      <c r="N25" s="16" t="n"/>
      <c r="O25" s="78" t="n"/>
      <c r="P25" s="16" t="n"/>
      <c r="Q25" s="16" t="n"/>
      <c r="R25" s="1" t="n"/>
      <c r="S25" s="1" t="n"/>
      <c r="T25" s="8" t="n"/>
      <c r="U25" s="8" t="n"/>
      <c r="V25" s="17" t="n"/>
      <c r="W25" s="17" t="n">
        <v>2</v>
      </c>
      <c r="X25" s="18" t="n">
        <v>2</v>
      </c>
      <c r="Y25" s="18" t="n"/>
      <c r="Z25" s="17" t="n"/>
      <c r="AA25" s="17" t="n"/>
      <c r="AB25" s="17" t="n">
        <v>0</v>
      </c>
      <c r="AC25" s="17" t="n">
        <v>0</v>
      </c>
      <c r="AD25" s="22" t="n"/>
      <c r="AE25" s="35" t="n"/>
      <c r="AF25" s="22" t="inlineStr">
        <is>
          <t>火曜日のN、Jは各勤務１回まで。他の師長より優先的に夜勤２回にしてよい</t>
        </is>
      </c>
      <c r="AG25" s="16" t="n"/>
      <c r="AH25" s="16" t="n"/>
      <c r="AI25" s="16" t="n"/>
      <c r="AJ25" s="16" t="n"/>
      <c r="AK25" s="16" t="n"/>
      <c r="AL25" s="16" t="n"/>
      <c r="AM25" s="16" t="n"/>
      <c r="AN25" s="16" t="n"/>
      <c r="AO25" s="16" t="n"/>
      <c r="AP25" s="16" t="n"/>
      <c r="AQ25" s="16" t="n"/>
      <c r="AR25" s="16" t="n"/>
      <c r="AS25" s="16" t="n"/>
      <c r="AT25" s="16" t="n"/>
      <c r="AU25" s="16" t="n"/>
      <c r="AV25" s="16" t="n"/>
    </row>
    <row r="26">
      <c r="A26" s="1" t="n">
        <v>23</v>
      </c>
      <c r="B26" s="7" t="inlineStr">
        <is>
          <t>Kristi Nguyen</t>
        </is>
      </c>
      <c r="C26" s="7" t="inlineStr">
        <is>
          <t>師長</t>
        </is>
      </c>
      <c r="D26" s="7" t="inlineStr">
        <is>
          <t>89861</t>
        </is>
      </c>
      <c r="E26" s="17" t="n">
        <v>5</v>
      </c>
      <c r="F26" s="78" t="inlineStr">
        <is>
          <t>●</t>
        </is>
      </c>
      <c r="G26" s="78" t="n"/>
      <c r="H26" s="78" t="n"/>
      <c r="I26" s="78" t="inlineStr">
        <is>
          <t>●</t>
        </is>
      </c>
      <c r="J26" s="16" t="n"/>
      <c r="K26" s="16" t="n"/>
      <c r="L26" s="78" t="n"/>
      <c r="M26" s="78" t="n"/>
      <c r="N26" s="16" t="n"/>
      <c r="O26" s="78" t="n"/>
      <c r="P26" s="16" t="n"/>
      <c r="Q26" s="16" t="n"/>
      <c r="R26" s="1" t="n"/>
      <c r="S26" s="1" t="n"/>
      <c r="T26" s="8" t="n"/>
      <c r="U26" s="8" t="n"/>
      <c r="V26" s="17" t="n"/>
      <c r="W26" s="17" t="n">
        <v>2</v>
      </c>
      <c r="X26" s="18" t="n">
        <v>2</v>
      </c>
      <c r="Y26" s="18" t="n"/>
      <c r="Z26" s="17" t="n"/>
      <c r="AA26" s="17" t="n"/>
      <c r="AB26" s="17" t="n">
        <v>0</v>
      </c>
      <c r="AC26" s="17" t="n">
        <v>0</v>
      </c>
      <c r="AD26" s="22" t="n"/>
      <c r="AE26" s="22" t="n"/>
      <c r="AF26" s="22" t="inlineStr">
        <is>
          <t>火曜日のN、Jは各勤務１回まで。他の師長より優先的に夜勤２回にしてよい</t>
        </is>
      </c>
      <c r="AG26" s="16" t="n"/>
      <c r="AH26" s="16" t="n"/>
      <c r="AI26" s="16" t="n"/>
      <c r="AJ26" s="16" t="n"/>
      <c r="AK26" s="16" t="n"/>
      <c r="AL26" s="16" t="n"/>
      <c r="AM26" s="16" t="n"/>
      <c r="AN26" s="16" t="n"/>
      <c r="AO26" s="16" t="n"/>
      <c r="AP26" s="16" t="n"/>
      <c r="AQ26" s="16" t="n"/>
      <c r="AR26" s="16" t="n"/>
      <c r="AS26" s="16" t="n"/>
      <c r="AT26" s="16" t="n"/>
      <c r="AU26" s="16" t="n"/>
      <c r="AV26" s="16" t="n"/>
    </row>
    <row r="27">
      <c r="A27" s="1" t="n">
        <v>24</v>
      </c>
      <c r="B27" s="7" t="inlineStr">
        <is>
          <t>Joshua Ewing</t>
        </is>
      </c>
      <c r="C27" s="7" t="inlineStr">
        <is>
          <t>師長</t>
        </is>
      </c>
      <c r="D27" s="7" t="inlineStr">
        <is>
          <t>49353</t>
        </is>
      </c>
      <c r="E27" s="17" t="n">
        <v>1</v>
      </c>
      <c r="F27" s="78" t="inlineStr">
        <is>
          <t>●</t>
        </is>
      </c>
      <c r="G27" s="78" t="n"/>
      <c r="H27" s="78" t="n"/>
      <c r="I27" s="78" t="n"/>
      <c r="J27" s="16" t="n"/>
      <c r="K27" s="16" t="n"/>
      <c r="L27" s="78" t="n"/>
      <c r="M27" s="78" t="n"/>
      <c r="N27" s="16" t="n"/>
      <c r="O27" s="78" t="n"/>
      <c r="P27" s="16" t="n"/>
      <c r="Q27" s="16" t="n"/>
      <c r="R27" s="1" t="n"/>
      <c r="S27" s="1" t="n"/>
      <c r="T27" s="8" t="n"/>
      <c r="U27" s="8" t="n"/>
      <c r="V27" s="17" t="n"/>
      <c r="W27" s="17" t="n">
        <v>0</v>
      </c>
      <c r="X27" s="18" t="n">
        <v>0</v>
      </c>
      <c r="Y27" s="18" t="n"/>
      <c r="Z27" s="17" t="n"/>
      <c r="AA27" s="17" t="n"/>
      <c r="AB27" s="17" t="n">
        <v>0</v>
      </c>
      <c r="AC27" s="17" t="n">
        <v>0</v>
      </c>
      <c r="AD27" s="22" t="n"/>
      <c r="AE27" s="22" t="n"/>
      <c r="AF27" s="22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6" t="n"/>
    </row>
    <row r="28">
      <c r="A28" s="1" t="n">
        <v>25</v>
      </c>
      <c r="B28" s="7" t="inlineStr">
        <is>
          <t>Daniel Hunter</t>
        </is>
      </c>
      <c r="C28" s="7" t="inlineStr">
        <is>
          <t>師長</t>
        </is>
      </c>
      <c r="D28" s="7" t="inlineStr">
        <is>
          <t>51930</t>
        </is>
      </c>
      <c r="E28" s="17" t="n">
        <v>5</v>
      </c>
      <c r="F28" s="78" t="inlineStr">
        <is>
          <t>●</t>
        </is>
      </c>
      <c r="G28" s="78" t="n"/>
      <c r="H28" s="78" t="n"/>
      <c r="I28" s="78" t="inlineStr">
        <is>
          <t>●</t>
        </is>
      </c>
      <c r="J28" s="16" t="n"/>
      <c r="K28" s="16" t="n"/>
      <c r="L28" s="78" t="n"/>
      <c r="M28" s="78" t="n"/>
      <c r="N28" s="16" t="n"/>
      <c r="O28" s="78" t="n"/>
      <c r="P28" s="16" t="n"/>
      <c r="Q28" s="16" t="n"/>
      <c r="R28" s="1" t="n"/>
      <c r="S28" s="1" t="n"/>
      <c r="T28" s="8" t="n"/>
      <c r="U28" s="8" t="n"/>
      <c r="V28" s="17" t="n"/>
      <c r="W28" s="17" t="n">
        <v>1</v>
      </c>
      <c r="X28" s="18" t="n">
        <v>2</v>
      </c>
      <c r="Y28" s="18" t="n"/>
      <c r="Z28" s="17" t="n"/>
      <c r="AA28" s="17" t="n"/>
      <c r="AB28" s="17" t="n">
        <v>0</v>
      </c>
      <c r="AC28" s="17" t="n">
        <v>0</v>
      </c>
      <c r="AD28" s="22" t="n"/>
      <c r="AE28" s="22" t="n"/>
      <c r="AF28" s="22" t="inlineStr">
        <is>
          <t>火曜日のN、Jは各勤務１回まで。他の師長より優先的に夜勤２回にしてよい</t>
        </is>
      </c>
      <c r="AG28" s="16" t="n"/>
      <c r="AH28" s="16" t="n"/>
      <c r="AI28" s="16" t="n"/>
      <c r="AJ28" s="16" t="n"/>
      <c r="AK28" s="16" t="n"/>
      <c r="AL28" s="16" t="n"/>
      <c r="AM28" s="16" t="n"/>
      <c r="AN28" s="16" t="n"/>
      <c r="AO28" s="16" t="n"/>
      <c r="AP28" s="16" t="n"/>
      <c r="AQ28" s="16" t="n"/>
      <c r="AR28" s="16" t="n"/>
      <c r="AS28" s="16" t="n"/>
      <c r="AT28" s="16" t="n"/>
      <c r="AU28" s="16" t="n"/>
      <c r="AV28" s="16" t="n"/>
    </row>
    <row r="29">
      <c r="A29" s="1" t="n">
        <v>26</v>
      </c>
      <c r="B29" s="7" t="inlineStr">
        <is>
          <t>Michael Jones</t>
        </is>
      </c>
      <c r="C29" s="7" t="inlineStr">
        <is>
          <t>師長</t>
        </is>
      </c>
      <c r="D29" s="7" t="inlineStr">
        <is>
          <t>19727</t>
        </is>
      </c>
      <c r="E29" s="17" t="n">
        <v>5</v>
      </c>
      <c r="F29" s="78" t="inlineStr">
        <is>
          <t>●</t>
        </is>
      </c>
      <c r="G29" s="78" t="n"/>
      <c r="H29" s="78" t="n"/>
      <c r="I29" s="78" t="inlineStr">
        <is>
          <t>●</t>
        </is>
      </c>
      <c r="J29" s="16" t="n"/>
      <c r="K29" s="16" t="n"/>
      <c r="L29" s="78" t="n"/>
      <c r="M29" s="78" t="n"/>
      <c r="N29" s="16" t="n"/>
      <c r="O29" s="78" t="n"/>
      <c r="P29" s="16" t="n"/>
      <c r="Q29" s="16" t="n"/>
      <c r="R29" s="1" t="n"/>
      <c r="S29" s="1" t="n"/>
      <c r="T29" s="8" t="n"/>
      <c r="U29" s="8" t="n"/>
      <c r="V29" s="17" t="n"/>
      <c r="W29" s="17" t="n">
        <v>1</v>
      </c>
      <c r="X29" s="18" t="n">
        <v>2</v>
      </c>
      <c r="Y29" s="18" t="n"/>
      <c r="Z29" s="17" t="n"/>
      <c r="AA29" s="17" t="n"/>
      <c r="AB29" s="17" t="n">
        <v>0</v>
      </c>
      <c r="AC29" s="17" t="n">
        <v>0</v>
      </c>
      <c r="AD29" s="22" t="n"/>
      <c r="AE29" s="22" t="n"/>
      <c r="AF29" s="22" t="inlineStr">
        <is>
          <t>火曜日のN、Jは各勤務１回まで。</t>
        </is>
      </c>
      <c r="AG29" s="16" t="n"/>
      <c r="AH29" s="16" t="n"/>
      <c r="AI29" s="16" t="n"/>
      <c r="AJ29" s="16" t="n"/>
      <c r="AK29" s="16" t="n"/>
      <c r="AL29" s="16" t="n"/>
      <c r="AM29" s="16" t="n"/>
      <c r="AN29" s="16" t="n"/>
      <c r="AO29" s="16" t="n"/>
      <c r="AP29" s="16" t="n"/>
      <c r="AQ29" s="16" t="n"/>
      <c r="AR29" s="16" t="n"/>
      <c r="AS29" s="16" t="n"/>
      <c r="AT29" s="16" t="n"/>
      <c r="AU29" s="16" t="n"/>
      <c r="AV29" s="16" t="n"/>
    </row>
    <row r="30">
      <c r="A30" s="1" t="n">
        <v>27</v>
      </c>
      <c r="B30" s="7" t="inlineStr">
        <is>
          <t>Patrick Baker</t>
        </is>
      </c>
      <c r="C30" s="7" t="inlineStr">
        <is>
          <t>師長</t>
        </is>
      </c>
      <c r="D30" s="7" t="inlineStr">
        <is>
          <t>13996</t>
        </is>
      </c>
      <c r="E30" s="17" t="n">
        <v>1</v>
      </c>
      <c r="F30" s="78" t="inlineStr">
        <is>
          <t>●</t>
        </is>
      </c>
      <c r="G30" s="33" t="n"/>
      <c r="H30" s="33" t="n"/>
      <c r="I30" s="34" t="n"/>
      <c r="J30" s="34" t="n"/>
      <c r="K30" s="34" t="n"/>
      <c r="L30" s="33" t="n"/>
      <c r="M30" s="34" t="n"/>
      <c r="N30" s="33" t="n"/>
      <c r="O30" s="33" t="n"/>
      <c r="P30" s="34" t="n"/>
      <c r="Q30" s="34" t="n"/>
      <c r="R30" s="1" t="n"/>
      <c r="S30" s="1" t="n"/>
      <c r="T30" s="8" t="n"/>
      <c r="U30" s="8" t="n"/>
      <c r="V30" s="17" t="n"/>
      <c r="W30" s="17" t="n">
        <v>0</v>
      </c>
      <c r="X30" s="17" t="n">
        <v>0</v>
      </c>
      <c r="Y30" s="17" t="n"/>
      <c r="Z30" s="17" t="n"/>
      <c r="AA30" s="17" t="n"/>
      <c r="AB30" s="17" t="n">
        <v>0</v>
      </c>
      <c r="AC30" s="17" t="n">
        <v>0</v>
      </c>
      <c r="AD30" s="22" t="n"/>
      <c r="AE30" s="22" t="n"/>
      <c r="AF30" s="22" t="n"/>
      <c r="AG30" s="16" t="n"/>
      <c r="AH30" s="16" t="n"/>
      <c r="AI30" s="16" t="n"/>
      <c r="AJ30" s="16" t="n"/>
      <c r="AK30" s="16" t="n"/>
      <c r="AL30" s="16" t="n"/>
      <c r="AM30" s="16" t="n"/>
      <c r="AN30" s="16" t="n"/>
      <c r="AO30" s="16" t="n"/>
      <c r="AP30" s="16" t="n"/>
      <c r="AQ30" s="16" t="n"/>
      <c r="AR30" s="16" t="n"/>
      <c r="AS30" s="16" t="n"/>
      <c r="AT30" s="16" t="n"/>
      <c r="AU30" s="16" t="n"/>
      <c r="AV30" s="16" t="n"/>
    </row>
    <row r="31">
      <c r="A31" s="1" t="n">
        <v>28</v>
      </c>
      <c r="B31" s="7" t="inlineStr">
        <is>
          <t>Franklin Phillips</t>
        </is>
      </c>
      <c r="C31" s="7" t="inlineStr">
        <is>
          <t>師長</t>
        </is>
      </c>
      <c r="D31" s="7" t="inlineStr">
        <is>
          <t>52504</t>
        </is>
      </c>
      <c r="E31" s="17" t="n">
        <v>1</v>
      </c>
      <c r="F31" s="78" t="inlineStr">
        <is>
          <t>●</t>
        </is>
      </c>
      <c r="G31" s="33" t="n"/>
      <c r="H31" s="33" t="n"/>
      <c r="I31" s="34" t="n"/>
      <c r="J31" s="34" t="n"/>
      <c r="K31" s="34" t="n"/>
      <c r="L31" s="33" t="n"/>
      <c r="M31" s="34" t="n"/>
      <c r="N31" s="33" t="n"/>
      <c r="O31" s="33" t="n"/>
      <c r="P31" s="34" t="n"/>
      <c r="Q31" s="34" t="n"/>
      <c r="R31" s="1" t="n"/>
      <c r="S31" s="1" t="n"/>
      <c r="T31" s="8" t="n"/>
      <c r="U31" s="8" t="n"/>
      <c r="V31" s="17" t="n"/>
      <c r="W31" s="17" t="n">
        <v>0</v>
      </c>
      <c r="X31" s="17" t="n">
        <v>0</v>
      </c>
      <c r="Y31" s="17" t="n"/>
      <c r="Z31" s="17" t="n"/>
      <c r="AA31" s="17" t="n"/>
      <c r="AB31" s="17" t="n">
        <v>0</v>
      </c>
      <c r="AC31" s="17" t="n">
        <v>0</v>
      </c>
      <c r="AD31" s="22" t="n"/>
      <c r="AE31" s="22" t="n"/>
      <c r="AF31" s="22" t="n"/>
      <c r="AG31" s="16" t="n"/>
      <c r="AH31" s="16" t="n"/>
      <c r="AI31" s="16" t="n"/>
      <c r="AJ31" s="16" t="n"/>
      <c r="AK31" s="16" t="n"/>
      <c r="AL31" s="16" t="n"/>
      <c r="AM31" s="16" t="n"/>
      <c r="AN31" s="16" t="n"/>
      <c r="AO31" s="16" t="n"/>
      <c r="AP31" s="16" t="n"/>
      <c r="AQ31" s="16" t="n"/>
      <c r="AR31" s="16" t="n"/>
      <c r="AS31" s="16" t="n"/>
      <c r="AT31" s="16" t="n"/>
      <c r="AU31" s="16" t="n"/>
      <c r="AV31" s="16" t="n"/>
    </row>
    <row r="32">
      <c r="A32" s="1" t="n">
        <v>29</v>
      </c>
      <c r="B32" s="7" t="inlineStr">
        <is>
          <t>Gina Woods</t>
        </is>
      </c>
      <c r="C32" s="7" t="inlineStr">
        <is>
          <t>師長</t>
        </is>
      </c>
      <c r="D32" s="7" t="inlineStr">
        <is>
          <t>27470</t>
        </is>
      </c>
      <c r="E32" s="17" t="n">
        <v>1</v>
      </c>
      <c r="F32" s="78" t="inlineStr">
        <is>
          <t>●</t>
        </is>
      </c>
      <c r="G32" s="33" t="n"/>
      <c r="H32" s="33" t="n"/>
      <c r="I32" s="34" t="n"/>
      <c r="J32" s="34" t="n"/>
      <c r="K32" s="34" t="n"/>
      <c r="L32" s="33" t="n"/>
      <c r="M32" s="34" t="n"/>
      <c r="N32" s="33" t="n"/>
      <c r="O32" s="33" t="n"/>
      <c r="P32" s="34" t="n"/>
      <c r="Q32" s="34" t="n"/>
      <c r="R32" s="1" t="n"/>
      <c r="S32" s="1" t="n"/>
      <c r="T32" s="8" t="n"/>
      <c r="U32" s="8" t="n"/>
      <c r="V32" s="17" t="n"/>
      <c r="W32" s="17" t="n">
        <v>0</v>
      </c>
      <c r="X32" s="17" t="n">
        <v>0</v>
      </c>
      <c r="Y32" s="17" t="n"/>
      <c r="Z32" s="17" t="n"/>
      <c r="AA32" s="17" t="n"/>
      <c r="AB32" s="17" t="n">
        <v>0</v>
      </c>
      <c r="AC32" s="17" t="n">
        <v>0</v>
      </c>
      <c r="AD32" s="22" t="n"/>
      <c r="AE32" s="22" t="n"/>
      <c r="AF32" s="22" t="n"/>
      <c r="AG32" s="16" t="n"/>
      <c r="AH32" s="16" t="n"/>
      <c r="AI32" s="16" t="n"/>
      <c r="AJ32" s="16" t="n"/>
      <c r="AK32" s="16" t="n"/>
      <c r="AL32" s="16" t="n"/>
      <c r="AM32" s="16" t="n"/>
      <c r="AN32" s="16" t="n"/>
      <c r="AO32" s="16" t="n"/>
      <c r="AP32" s="16" t="n"/>
      <c r="AQ32" s="16" t="n"/>
      <c r="AR32" s="16" t="n"/>
      <c r="AS32" s="16" t="n"/>
      <c r="AT32" s="16" t="n"/>
      <c r="AU32" s="16" t="n"/>
      <c r="AV32" s="16" t="n"/>
    </row>
    <row r="33">
      <c r="A33" s="1" t="n">
        <v>30</v>
      </c>
      <c r="B33" s="7" t="inlineStr">
        <is>
          <t>Jordan Weiss</t>
        </is>
      </c>
      <c r="C33" s="7" t="inlineStr">
        <is>
          <t>師長</t>
        </is>
      </c>
      <c r="D33" s="7" t="inlineStr">
        <is>
          <t>97276</t>
        </is>
      </c>
      <c r="E33" s="17" t="n">
        <v>1</v>
      </c>
      <c r="F33" s="78" t="inlineStr">
        <is>
          <t>●</t>
        </is>
      </c>
      <c r="G33" s="33" t="n"/>
      <c r="H33" s="33" t="n"/>
      <c r="I33" s="34" t="n"/>
      <c r="J33" s="34" t="n"/>
      <c r="K33" s="34" t="n"/>
      <c r="L33" s="33" t="n"/>
      <c r="M33" s="34" t="n"/>
      <c r="N33" s="33" t="n"/>
      <c r="O33" s="33" t="n"/>
      <c r="P33" s="34" t="n"/>
      <c r="Q33" s="34" t="n"/>
      <c r="R33" s="1" t="n"/>
      <c r="S33" s="1" t="n"/>
      <c r="T33" s="8" t="n"/>
      <c r="U33" s="8" t="n"/>
      <c r="V33" s="17" t="n"/>
      <c r="W33" s="17" t="n">
        <v>0</v>
      </c>
      <c r="X33" s="17" t="n">
        <v>0</v>
      </c>
      <c r="Y33" s="17" t="n"/>
      <c r="Z33" s="17" t="n"/>
      <c r="AA33" s="17" t="n"/>
      <c r="AB33" s="17" t="n">
        <v>0</v>
      </c>
      <c r="AC33" s="17" t="n">
        <v>0</v>
      </c>
      <c r="AD33" s="22" t="n"/>
      <c r="AE33" s="22" t="n"/>
      <c r="AF33" s="22" t="n"/>
      <c r="AG33" s="16" t="n"/>
      <c r="AH33" s="16" t="n"/>
      <c r="AI33" s="16" t="n"/>
      <c r="AJ33" s="16" t="n"/>
      <c r="AK33" s="16" t="n"/>
      <c r="AL33" s="16" t="n"/>
      <c r="AM33" s="16" t="n"/>
      <c r="AN33" s="16" t="n"/>
      <c r="AO33" s="16" t="n"/>
      <c r="AP33" s="16" t="n"/>
      <c r="AQ33" s="16" t="n"/>
      <c r="AR33" s="16" t="n"/>
      <c r="AS33" s="16" t="n"/>
      <c r="AT33" s="16" t="n"/>
      <c r="AU33" s="16" t="n"/>
      <c r="AV33" s="16" t="n"/>
    </row>
    <row r="34">
      <c r="A34" s="1" t="n">
        <v>31</v>
      </c>
      <c r="B34" s="7" t="inlineStr">
        <is>
          <t>Manuel Collins</t>
        </is>
      </c>
      <c r="C34" s="7" t="inlineStr">
        <is>
          <t>師長</t>
        </is>
      </c>
      <c r="D34" s="7" t="inlineStr">
        <is>
          <t>57002</t>
        </is>
      </c>
      <c r="E34" s="17" t="n">
        <v>1</v>
      </c>
      <c r="F34" s="78" t="inlineStr">
        <is>
          <t>●</t>
        </is>
      </c>
      <c r="G34" s="33" t="n"/>
      <c r="H34" s="33" t="n"/>
      <c r="I34" s="34" t="n"/>
      <c r="J34" s="34" t="n"/>
      <c r="K34" s="34" t="n"/>
      <c r="L34" s="33" t="n"/>
      <c r="M34" s="34" t="n"/>
      <c r="N34" s="33" t="n"/>
      <c r="O34" s="33" t="n"/>
      <c r="P34" s="34" t="n"/>
      <c r="Q34" s="34" t="n"/>
      <c r="R34" s="1" t="n"/>
      <c r="S34" s="1" t="n"/>
      <c r="T34" s="8" t="n"/>
      <c r="U34" s="8" t="n"/>
      <c r="V34" s="17" t="n"/>
      <c r="W34" s="17" t="n">
        <v>0</v>
      </c>
      <c r="X34" s="17" t="n">
        <v>0</v>
      </c>
      <c r="Y34" s="17" t="n"/>
      <c r="Z34" s="17" t="n"/>
      <c r="AA34" s="17" t="n"/>
      <c r="AB34" s="17" t="n">
        <v>0</v>
      </c>
      <c r="AC34" s="17" t="n">
        <v>0</v>
      </c>
      <c r="AD34" s="22" t="n"/>
      <c r="AE34" s="22" t="n"/>
      <c r="AF34" s="22" t="n"/>
      <c r="AG34" s="16" t="n"/>
      <c r="AH34" s="16" t="n"/>
      <c r="AI34" s="16" t="n"/>
      <c r="AJ34" s="16" t="n"/>
      <c r="AK34" s="16" t="n"/>
      <c r="AL34" s="16" t="n"/>
      <c r="AM34" s="16" t="n"/>
      <c r="AN34" s="16" t="n"/>
      <c r="AO34" s="16" t="n"/>
      <c r="AP34" s="16" t="n"/>
      <c r="AQ34" s="16" t="n"/>
      <c r="AR34" s="16" t="n"/>
      <c r="AS34" s="16" t="n"/>
      <c r="AT34" s="16" t="n"/>
      <c r="AU34" s="16" t="n"/>
      <c r="AV34" s="16" t="n"/>
    </row>
    <row r="35">
      <c r="A35" s="1" t="n">
        <v>32</v>
      </c>
      <c r="B35" s="7" t="inlineStr">
        <is>
          <t>Jose Jackson</t>
        </is>
      </c>
      <c r="C35" s="7" t="inlineStr">
        <is>
          <t>師長</t>
        </is>
      </c>
      <c r="D35" s="7" t="inlineStr">
        <is>
          <t>12991</t>
        </is>
      </c>
      <c r="E35" s="17" t="n">
        <v>1</v>
      </c>
      <c r="F35" s="78" t="inlineStr">
        <is>
          <t>●</t>
        </is>
      </c>
      <c r="G35" s="33" t="n"/>
      <c r="H35" s="33" t="n"/>
      <c r="I35" s="34" t="n"/>
      <c r="J35" s="34" t="n"/>
      <c r="K35" s="34" t="n"/>
      <c r="L35" s="33" t="n"/>
      <c r="M35" s="34" t="n"/>
      <c r="N35" s="33" t="n"/>
      <c r="O35" s="33" t="n"/>
      <c r="P35" s="34" t="n"/>
      <c r="Q35" s="34" t="n"/>
      <c r="R35" s="1" t="n"/>
      <c r="S35" s="1" t="n"/>
      <c r="T35" s="8" t="n"/>
      <c r="U35" s="8" t="n"/>
      <c r="V35" s="17" t="n"/>
      <c r="W35" s="17" t="n">
        <v>0</v>
      </c>
      <c r="X35" s="17" t="n">
        <v>0</v>
      </c>
      <c r="Y35" s="17" t="n"/>
      <c r="Z35" s="17" t="n"/>
      <c r="AA35" s="17" t="n"/>
      <c r="AB35" s="17" t="n">
        <v>0</v>
      </c>
      <c r="AC35" s="17" t="n">
        <v>0</v>
      </c>
      <c r="AD35" s="22" t="n"/>
      <c r="AE35" s="22" t="n"/>
      <c r="AF35" s="22" t="n"/>
      <c r="AG35" s="16" t="n"/>
      <c r="AH35" s="16" t="n"/>
      <c r="AI35" s="16" t="n"/>
      <c r="AJ35" s="16" t="n"/>
      <c r="AK35" s="16" t="n"/>
      <c r="AL35" s="16" t="n"/>
      <c r="AM35" s="16" t="n"/>
      <c r="AN35" s="16" t="n"/>
      <c r="AO35" s="16" t="n"/>
      <c r="AP35" s="16" t="n"/>
      <c r="AQ35" s="16" t="n"/>
      <c r="AR35" s="16" t="n"/>
      <c r="AS35" s="16" t="n"/>
      <c r="AT35" s="16" t="n"/>
      <c r="AU35" s="16" t="n"/>
      <c r="AV35" s="16" t="n"/>
    </row>
    <row r="36">
      <c r="A36" s="1" t="n">
        <v>33</v>
      </c>
      <c r="B36" s="7" t="inlineStr">
        <is>
          <t>Catherine Walsh</t>
        </is>
      </c>
      <c r="C36" s="7" t="inlineStr">
        <is>
          <t>師長</t>
        </is>
      </c>
      <c r="D36" s="7" t="inlineStr">
        <is>
          <t>39003</t>
        </is>
      </c>
      <c r="E36" s="17" t="n">
        <v>1</v>
      </c>
      <c r="F36" s="78" t="inlineStr">
        <is>
          <t>●</t>
        </is>
      </c>
      <c r="G36" s="27" t="n"/>
      <c r="H36" s="27" t="n"/>
      <c r="I36" s="27" t="n"/>
      <c r="J36" s="27" t="n"/>
      <c r="K36" s="27" t="n"/>
      <c r="L36" s="27" t="n"/>
      <c r="M36" s="27" t="n"/>
      <c r="N36" s="27" t="n"/>
      <c r="O36" s="27" t="n"/>
      <c r="P36" s="27" t="n"/>
      <c r="Q36" s="27" t="n"/>
      <c r="R36" s="1" t="n"/>
      <c r="S36" s="1" t="n"/>
      <c r="T36" s="8" t="n"/>
      <c r="U36" s="8" t="n"/>
      <c r="V36" s="17" t="n"/>
      <c r="W36" s="17" t="n">
        <v>0</v>
      </c>
      <c r="X36" s="17" t="n">
        <v>0</v>
      </c>
      <c r="Y36" s="17" t="n"/>
      <c r="Z36" s="17" t="n"/>
      <c r="AA36" s="17" t="n"/>
      <c r="AB36" s="17" t="n">
        <v>0</v>
      </c>
      <c r="AC36" s="17" t="n">
        <v>0</v>
      </c>
      <c r="AD36" s="18" t="n"/>
      <c r="AE36" s="17" t="n"/>
      <c r="AF36" s="18" t="n"/>
      <c r="AG36" s="15" t="n"/>
      <c r="AH36" s="15" t="n"/>
      <c r="AI36" s="15" t="n"/>
      <c r="AJ36" s="15" t="n"/>
      <c r="AK36" s="15" t="n"/>
      <c r="AL36" s="15" t="n"/>
      <c r="AM36" s="15" t="n"/>
      <c r="AN36" s="15" t="n"/>
      <c r="AO36" s="15" t="n"/>
      <c r="AP36" s="15" t="n"/>
      <c r="AQ36" s="15" t="n"/>
      <c r="AR36" s="15" t="n"/>
      <c r="AS36" s="15" t="n"/>
      <c r="AT36" s="15" t="n"/>
      <c r="AU36" s="15" t="n"/>
      <c r="AV36" s="15" t="n"/>
    </row>
    <row r="37">
      <c r="A37" s="1" t="n">
        <v>34</v>
      </c>
      <c r="B37" s="7" t="inlineStr">
        <is>
          <t>Richard Raymond</t>
        </is>
      </c>
      <c r="C37" s="7" t="inlineStr">
        <is>
          <t>師長</t>
        </is>
      </c>
      <c r="D37" s="7" t="inlineStr">
        <is>
          <t>61687</t>
        </is>
      </c>
      <c r="E37" s="17" t="n">
        <v>1</v>
      </c>
      <c r="F37" s="78" t="inlineStr">
        <is>
          <t>●</t>
        </is>
      </c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1" t="n"/>
      <c r="S37" s="1" t="n"/>
      <c r="T37" s="8" t="n"/>
      <c r="U37" s="8" t="n"/>
      <c r="V37" s="17" t="n"/>
      <c r="W37" s="17" t="n">
        <v>0</v>
      </c>
      <c r="X37" s="17" t="n">
        <v>0</v>
      </c>
      <c r="Y37" s="17" t="n"/>
      <c r="Z37" s="17" t="n"/>
      <c r="AA37" s="17" t="n"/>
      <c r="AB37" s="17" t="n">
        <v>0</v>
      </c>
      <c r="AC37" s="17" t="n">
        <v>0</v>
      </c>
      <c r="AD37" s="17" t="n"/>
      <c r="AE37" s="17" t="n"/>
      <c r="AF37" s="18" t="n"/>
      <c r="AG37" s="15" t="n"/>
      <c r="AH37" s="15" t="n"/>
      <c r="AI37" s="15" t="n"/>
      <c r="AJ37" s="15" t="n"/>
      <c r="AK37" s="15" t="n"/>
      <c r="AL37" s="15" t="n"/>
      <c r="AM37" s="15" t="n"/>
      <c r="AN37" s="15" t="n"/>
      <c r="AO37" s="15" t="n"/>
      <c r="AP37" s="15" t="n"/>
      <c r="AQ37" s="15" t="n"/>
      <c r="AR37" s="15" t="n"/>
      <c r="AS37" s="15" t="n"/>
      <c r="AT37" s="15" t="n"/>
      <c r="AU37" s="15" t="n"/>
      <c r="AV37" s="15" t="n"/>
    </row>
    <row r="38">
      <c r="A38" s="1" t="n">
        <v>35</v>
      </c>
      <c r="B38" s="7" t="inlineStr">
        <is>
          <t>Juan Cochran</t>
        </is>
      </c>
      <c r="C38" s="7" t="inlineStr">
        <is>
          <t>師長</t>
        </is>
      </c>
      <c r="D38" s="7" t="inlineStr">
        <is>
          <t>33241</t>
        </is>
      </c>
      <c r="E38" s="17" t="n">
        <v>1</v>
      </c>
      <c r="F38" s="78" t="inlineStr">
        <is>
          <t>●</t>
        </is>
      </c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7" t="n"/>
      <c r="Q38" s="27" t="n"/>
      <c r="R38" s="1" t="n"/>
      <c r="S38" s="1" t="n"/>
      <c r="T38" s="8" t="n"/>
      <c r="U38" s="8" t="n"/>
      <c r="V38" s="17" t="n"/>
      <c r="W38" s="17" t="n">
        <v>0</v>
      </c>
      <c r="X38" s="17" t="n">
        <v>0</v>
      </c>
      <c r="Y38" s="17" t="n"/>
      <c r="Z38" s="17" t="n"/>
      <c r="AA38" s="17" t="n"/>
      <c r="AB38" s="17" t="n">
        <v>0</v>
      </c>
      <c r="AC38" s="17" t="n">
        <v>0</v>
      </c>
      <c r="AD38" s="18" t="n"/>
      <c r="AE38" s="17" t="n"/>
      <c r="AF38" s="18" t="n"/>
      <c r="AG38" s="15" t="n"/>
      <c r="AH38" s="15" t="n"/>
      <c r="AI38" s="15" t="n"/>
      <c r="AJ38" s="15" t="n"/>
      <c r="AK38" s="15" t="n"/>
      <c r="AL38" s="15" t="n"/>
      <c r="AM38" s="15" t="n"/>
      <c r="AN38" s="15" t="n"/>
      <c r="AO38" s="15" t="n"/>
      <c r="AP38" s="15" t="n"/>
      <c r="AQ38" s="15" t="n"/>
      <c r="AR38" s="15" t="n"/>
      <c r="AS38" s="15" t="n"/>
      <c r="AT38" s="15" t="n"/>
      <c r="AU38" s="15" t="n"/>
      <c r="AV38" s="15" t="n"/>
    </row>
    <row r="39">
      <c r="A39" s="1" t="n">
        <v>36</v>
      </c>
      <c r="B39" s="7" t="inlineStr"/>
      <c r="C39" s="7" t="inlineStr"/>
      <c r="D39" s="7" t="inlineStr"/>
      <c r="E39" s="17" t="n"/>
      <c r="F39" s="22" t="n"/>
      <c r="G39" s="27" t="n"/>
      <c r="H39" s="27" t="n"/>
      <c r="I39" s="27" t="n"/>
      <c r="J39" s="27" t="n"/>
      <c r="K39" s="27" t="n"/>
      <c r="L39" s="27" t="n"/>
      <c r="M39" s="27" t="n"/>
      <c r="N39" s="27" t="n"/>
      <c r="O39" s="27" t="n"/>
      <c r="P39" s="27" t="n"/>
      <c r="Q39" s="27" t="n"/>
      <c r="R39" s="1">
        <f>IF(B39="","",1)</f>
        <v/>
      </c>
      <c r="S39" s="8">
        <f>IF(B39="","",28-(V39+#REF!+#REF!+Z39+#REF!+#REF!+#REF!))</f>
        <v/>
      </c>
      <c r="T39" s="8" t="n"/>
      <c r="U39" s="8" t="n"/>
      <c r="V39" s="17" t="n"/>
      <c r="W39" s="17" t="n"/>
      <c r="X39" s="17" t="n"/>
      <c r="Y39" s="17" t="n"/>
      <c r="Z39" s="17" t="n"/>
      <c r="AA39" s="17" t="n"/>
      <c r="AB39" s="17" t="n"/>
      <c r="AC39" s="17" t="n"/>
      <c r="AD39" s="17" t="n"/>
      <c r="AE39" s="17" t="n"/>
      <c r="AF39" s="18" t="n"/>
      <c r="AG39" s="15" t="n"/>
      <c r="AH39" s="15" t="n"/>
      <c r="AI39" s="15" t="n"/>
      <c r="AJ39" s="15" t="n"/>
      <c r="AK39" s="15" t="n"/>
      <c r="AL39" s="15" t="n"/>
      <c r="AM39" s="15" t="n"/>
      <c r="AN39" s="15" t="n"/>
      <c r="AO39" s="15" t="n"/>
      <c r="AP39" s="15" t="n"/>
      <c r="AQ39" s="15" t="n"/>
      <c r="AR39" s="15" t="n"/>
      <c r="AS39" s="15" t="n"/>
      <c r="AT39" s="15" t="n"/>
      <c r="AU39" s="15" t="n"/>
      <c r="AV39" s="15" t="n"/>
    </row>
    <row r="40">
      <c r="A40" s="1" t="n">
        <v>37</v>
      </c>
      <c r="B40" s="7" t="inlineStr"/>
      <c r="C40" s="7" t="inlineStr"/>
      <c r="D40" s="7" t="inlineStr"/>
      <c r="E40" s="17" t="n"/>
      <c r="F40" s="22" t="n"/>
      <c r="G40" s="27" t="n"/>
      <c r="H40" s="27" t="n"/>
      <c r="I40" s="27" t="n"/>
      <c r="J40" s="27" t="n"/>
      <c r="K40" s="27" t="n"/>
      <c r="L40" s="27" t="n"/>
      <c r="M40" s="27" t="n"/>
      <c r="N40" s="27" t="n"/>
      <c r="O40" s="27" t="n"/>
      <c r="P40" s="27" t="n"/>
      <c r="Q40" s="27" t="n"/>
      <c r="R40" s="1">
        <f>IF(B40="","",1)</f>
        <v/>
      </c>
      <c r="S40" s="8">
        <f>IF(B40="","",28-(V40+#REF!+#REF!+Z40+#REF!+#REF!+#REF!))</f>
        <v/>
      </c>
      <c r="T40" s="8" t="n"/>
      <c r="U40" s="8" t="n"/>
      <c r="V40" s="17" t="n"/>
      <c r="W40" s="17" t="n"/>
      <c r="X40" s="17" t="n"/>
      <c r="Y40" s="17" t="n"/>
      <c r="Z40" s="17" t="n"/>
      <c r="AA40" s="17" t="n"/>
      <c r="AB40" s="17" t="n"/>
      <c r="AC40" s="17" t="n"/>
      <c r="AD40" s="18" t="n"/>
      <c r="AE40" s="17" t="n"/>
      <c r="AF40" s="18" t="n"/>
      <c r="AG40" s="15" t="n"/>
      <c r="AH40" s="15" t="n"/>
      <c r="AI40" s="15" t="n"/>
      <c r="AJ40" s="15" t="n"/>
      <c r="AK40" s="15" t="n"/>
      <c r="AL40" s="15" t="n"/>
      <c r="AM40" s="15" t="n"/>
      <c r="AN40" s="15" t="n"/>
      <c r="AO40" s="15" t="n"/>
      <c r="AP40" s="15" t="n"/>
      <c r="AQ40" s="15" t="n"/>
      <c r="AR40" s="15" t="n"/>
      <c r="AS40" s="15" t="n"/>
      <c r="AT40" s="15" t="n"/>
      <c r="AU40" s="15" t="n"/>
      <c r="AV40" s="15" t="n"/>
    </row>
    <row r="41">
      <c r="A41" s="1" t="n">
        <v>38</v>
      </c>
      <c r="B41" s="7" t="inlineStr"/>
      <c r="C41" s="7" t="inlineStr"/>
      <c r="D41" s="7" t="inlineStr"/>
      <c r="E41" s="17" t="n"/>
      <c r="F41" s="22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1">
        <f>IF(B41="","",1)</f>
        <v/>
      </c>
      <c r="S41" s="8">
        <f>IF(B41="","",28-(V41+#REF!+#REF!+Z41+#REF!+#REF!+#REF!))</f>
        <v/>
      </c>
      <c r="T41" s="8" t="n"/>
      <c r="U41" s="8" t="n"/>
      <c r="V41" s="17" t="n"/>
      <c r="W41" s="17" t="n"/>
      <c r="X41" s="17" t="n"/>
      <c r="Y41" s="17" t="n"/>
      <c r="Z41" s="17" t="n"/>
      <c r="AA41" s="17" t="n"/>
      <c r="AB41" s="17" t="n"/>
      <c r="AC41" s="17" t="n"/>
      <c r="AD41" s="18" t="n"/>
      <c r="AE41" s="17" t="n"/>
      <c r="AF41" s="18" t="n"/>
      <c r="AG41" s="15" t="n"/>
      <c r="AH41" s="15" t="n"/>
      <c r="AI41" s="15" t="n"/>
      <c r="AJ41" s="15" t="n"/>
      <c r="AK41" s="15" t="n"/>
      <c r="AL41" s="15" t="n"/>
      <c r="AM41" s="15" t="n"/>
      <c r="AN41" s="15" t="n"/>
      <c r="AO41" s="15" t="n"/>
      <c r="AP41" s="15" t="n"/>
      <c r="AQ41" s="15" t="n"/>
      <c r="AR41" s="15" t="n"/>
      <c r="AS41" s="15" t="n"/>
      <c r="AT41" s="15" t="n"/>
      <c r="AU41" s="15" t="n"/>
      <c r="AV41" s="15" t="n"/>
    </row>
    <row r="42">
      <c r="A42" s="1" t="n">
        <v>39</v>
      </c>
      <c r="B42" s="7" t="inlineStr"/>
      <c r="C42" s="7" t="inlineStr"/>
      <c r="D42" s="7" t="inlineStr"/>
      <c r="E42" s="17" t="n"/>
      <c r="F42" s="22" t="n"/>
      <c r="G42" s="27" t="n"/>
      <c r="H42" s="27" t="n"/>
      <c r="I42" s="27" t="n"/>
      <c r="J42" s="27" t="n"/>
      <c r="K42" s="27" t="n"/>
      <c r="L42" s="27" t="n"/>
      <c r="M42" s="27" t="n"/>
      <c r="N42" s="27" t="n"/>
      <c r="O42" s="27" t="n"/>
      <c r="P42" s="27" t="n"/>
      <c r="Q42" s="27" t="n"/>
      <c r="R42" s="1">
        <f>IF(B42="","",1)</f>
        <v/>
      </c>
      <c r="S42" s="8">
        <f>IF(B42="","",28-(V42+#REF!+#REF!+Z42+#REF!+#REF!+#REF!))</f>
        <v/>
      </c>
      <c r="T42" s="8" t="n"/>
      <c r="U42" s="8" t="n"/>
      <c r="V42" s="17" t="n"/>
      <c r="W42" s="17" t="n"/>
      <c r="Y42" s="17" t="n"/>
      <c r="Z42" s="17" t="n"/>
      <c r="AA42" s="17" t="n"/>
      <c r="AB42" s="17" t="n"/>
      <c r="AC42" s="17" t="n"/>
      <c r="AD42" s="18" t="n"/>
      <c r="AE42" s="17" t="n"/>
      <c r="AF42" s="18" t="n"/>
      <c r="AG42" s="15" t="n"/>
      <c r="AH42" s="15" t="n"/>
      <c r="AI42" s="15" t="n"/>
      <c r="AJ42" s="15" t="n"/>
      <c r="AK42" s="15" t="n"/>
      <c r="AL42" s="15" t="n"/>
      <c r="AM42" s="15" t="n"/>
      <c r="AN42" s="15" t="n"/>
      <c r="AO42" s="15" t="n"/>
      <c r="AP42" s="15" t="n"/>
      <c r="AQ42" s="15" t="n"/>
      <c r="AR42" s="15" t="n"/>
      <c r="AS42" s="15" t="n"/>
      <c r="AT42" s="15" t="n"/>
      <c r="AU42" s="15" t="n"/>
      <c r="AV42" s="15" t="n"/>
    </row>
    <row r="43">
      <c r="A43" s="1" t="n">
        <v>40</v>
      </c>
      <c r="B43" s="7" t="inlineStr"/>
      <c r="C43" s="7" t="inlineStr"/>
      <c r="D43" s="7" t="inlineStr"/>
      <c r="E43" s="17" t="n"/>
      <c r="F43" s="22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  <c r="R43" s="1">
        <f>IF(B43="","",1)</f>
        <v/>
      </c>
      <c r="S43" s="8">
        <f>IF(B43="","",28-(V43+#REF!+#REF!+Z43+#REF!+#REF!+#REF!))</f>
        <v/>
      </c>
      <c r="T43" s="8" t="n"/>
      <c r="U43" s="8" t="n"/>
      <c r="V43" s="17" t="n"/>
      <c r="W43" s="17" t="n"/>
      <c r="X43" s="17" t="n"/>
      <c r="Y43" s="17" t="n"/>
      <c r="Z43" s="17" t="n"/>
      <c r="AA43" s="17" t="n"/>
      <c r="AB43" s="17" t="n"/>
      <c r="AC43" s="17" t="n"/>
      <c r="AD43" s="18" t="n"/>
      <c r="AE43" s="17" t="n"/>
      <c r="AF43" s="18" t="n"/>
      <c r="AG43" s="15" t="n"/>
      <c r="AH43" s="15" t="n"/>
      <c r="AI43" s="15" t="n"/>
      <c r="AJ43" s="15" t="n"/>
      <c r="AK43" s="15" t="n"/>
      <c r="AL43" s="15" t="n"/>
      <c r="AM43" s="15" t="n"/>
      <c r="AN43" s="15" t="n"/>
      <c r="AO43" s="15" t="n"/>
      <c r="AP43" s="15" t="n"/>
      <c r="AQ43" s="15" t="n"/>
      <c r="AR43" s="15" t="n"/>
      <c r="AS43" s="15" t="n"/>
      <c r="AT43" s="15" t="n"/>
      <c r="AU43" s="15" t="n"/>
      <c r="AV43" s="15" t="n"/>
    </row>
    <row r="44">
      <c r="A44" s="1" t="n">
        <v>41</v>
      </c>
      <c r="B44" s="7" t="inlineStr"/>
      <c r="C44" s="7" t="inlineStr"/>
      <c r="D44" s="7" t="inlineStr"/>
      <c r="E44" s="17" t="n"/>
      <c r="F44" s="22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  <c r="R44" s="1">
        <f>IF(B44="","",1)</f>
        <v/>
      </c>
      <c r="S44" s="8">
        <f>IF(B44="","",28-(V44+#REF!+#REF!+Z44+#REF!+#REF!+#REF!))</f>
        <v/>
      </c>
      <c r="T44" s="8" t="n"/>
      <c r="U44" s="8" t="n"/>
      <c r="V44" s="17" t="n"/>
      <c r="W44" s="17" t="n"/>
      <c r="X44" s="17" t="n"/>
      <c r="Y44" s="17" t="n"/>
      <c r="Z44" s="17" t="n"/>
      <c r="AA44" s="17" t="n"/>
      <c r="AB44" s="17" t="n"/>
      <c r="AC44" s="17" t="n"/>
      <c r="AD44" s="18" t="n"/>
      <c r="AE44" s="17" t="n"/>
      <c r="AF44" s="18" t="n"/>
      <c r="AG44" s="15" t="n"/>
      <c r="AH44" s="15" t="n"/>
      <c r="AI44" s="15" t="n"/>
      <c r="AJ44" s="15" t="n"/>
      <c r="AK44" s="15" t="n"/>
      <c r="AL44" s="15" t="n"/>
      <c r="AM44" s="15" t="n"/>
      <c r="AN44" s="15" t="n"/>
      <c r="AO44" s="15" t="n"/>
      <c r="AP44" s="15" t="n"/>
      <c r="AQ44" s="15" t="n"/>
      <c r="AR44" s="15" t="n"/>
      <c r="AS44" s="15" t="n"/>
      <c r="AT44" s="15" t="n"/>
      <c r="AU44" s="15" t="n"/>
      <c r="AV44" s="15" t="n"/>
    </row>
    <row r="45">
      <c r="A45" s="1" t="n">
        <v>42</v>
      </c>
      <c r="B45" s="7" t="inlineStr"/>
      <c r="C45" s="7" t="inlineStr"/>
      <c r="D45" s="7" t="inlineStr"/>
      <c r="E45" s="17" t="n"/>
      <c r="F45" s="22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1">
        <f>IF(B45="","",1)</f>
        <v/>
      </c>
      <c r="S45" s="8">
        <f>IF(B45="","",28-(V45+#REF!+#REF!+Z45+#REF!+#REF!+#REF!))</f>
        <v/>
      </c>
      <c r="T45" s="8" t="n"/>
      <c r="U45" s="8" t="n"/>
      <c r="V45" s="17" t="n"/>
      <c r="W45" s="17" t="n"/>
      <c r="X45" s="17" t="n"/>
      <c r="Y45" s="17" t="n"/>
      <c r="Z45" s="17" t="n"/>
      <c r="AA45" s="17" t="n"/>
      <c r="AB45" s="17" t="n"/>
      <c r="AC45" s="17" t="n"/>
      <c r="AD45" s="18" t="n"/>
      <c r="AE45" s="17" t="n"/>
      <c r="AF45" s="18" t="n"/>
      <c r="AG45" s="15" t="n"/>
      <c r="AH45" s="15" t="n"/>
      <c r="AI45" s="15" t="n"/>
      <c r="AJ45" s="15" t="n"/>
      <c r="AK45" s="15" t="n"/>
      <c r="AL45" s="15" t="n"/>
      <c r="AM45" s="15" t="n"/>
      <c r="AN45" s="15" t="n"/>
      <c r="AO45" s="15" t="n"/>
      <c r="AP45" s="15" t="n"/>
      <c r="AQ45" s="15" t="n"/>
      <c r="AR45" s="15" t="n"/>
      <c r="AS45" s="15" t="n"/>
      <c r="AT45" s="15" t="n"/>
      <c r="AU45" s="15" t="n"/>
      <c r="AV45" s="15" t="n"/>
    </row>
    <row r="46">
      <c r="A46" s="1" t="n">
        <v>43</v>
      </c>
      <c r="B46" s="7" t="inlineStr"/>
      <c r="C46" s="7" t="inlineStr"/>
      <c r="D46" s="7" t="inlineStr"/>
      <c r="E46" s="17" t="n"/>
      <c r="F46" s="22" t="n"/>
      <c r="G46" s="27" t="n"/>
      <c r="H46" s="27" t="n"/>
      <c r="I46" s="27" t="n"/>
      <c r="J46" s="27" t="n"/>
      <c r="K46" s="27" t="n"/>
      <c r="L46" s="27" t="n"/>
      <c r="M46" s="27" t="n"/>
      <c r="N46" s="27" t="n"/>
      <c r="O46" s="27" t="n"/>
      <c r="P46" s="27" t="n"/>
      <c r="Q46" s="27" t="n"/>
      <c r="R46" s="1">
        <f>IF(B46="","",1)</f>
        <v/>
      </c>
      <c r="S46" s="8">
        <f>IF(B46="","",28-(V46+#REF!+#REF!+Z46+#REF!+#REF!+#REF!))</f>
        <v/>
      </c>
      <c r="T46" s="8" t="n"/>
      <c r="U46" s="8" t="n"/>
      <c r="V46" s="17" t="n"/>
      <c r="W46" s="17" t="n"/>
      <c r="X46" s="17" t="n"/>
      <c r="Y46" s="17" t="n"/>
      <c r="Z46" s="17" t="n"/>
      <c r="AA46" s="17" t="n"/>
      <c r="AB46" s="17" t="n"/>
      <c r="AC46" s="17" t="n"/>
      <c r="AD46" s="18" t="n"/>
      <c r="AE46" s="17" t="n"/>
      <c r="AF46" s="18" t="n"/>
      <c r="AG46" s="15" t="n"/>
      <c r="AH46" s="15" t="n"/>
      <c r="AI46" s="15" t="n"/>
      <c r="AJ46" s="15" t="n"/>
      <c r="AK46" s="15" t="n"/>
      <c r="AL46" s="15" t="n"/>
      <c r="AM46" s="15" t="n"/>
      <c r="AN46" s="15" t="n"/>
      <c r="AO46" s="15" t="n"/>
      <c r="AP46" s="15" t="n"/>
      <c r="AQ46" s="15" t="n"/>
      <c r="AR46" s="15" t="n"/>
      <c r="AS46" s="15" t="n"/>
      <c r="AT46" s="15" t="n"/>
      <c r="AU46" s="15" t="n"/>
      <c r="AV46" s="15" t="n"/>
    </row>
    <row r="47">
      <c r="A47" s="1" t="n">
        <v>44</v>
      </c>
      <c r="B47" s="7" t="inlineStr"/>
      <c r="C47" s="7" t="inlineStr"/>
      <c r="D47" s="7" t="inlineStr"/>
      <c r="E47" s="17" t="n"/>
      <c r="F47" s="22" t="n"/>
      <c r="G47" s="27" t="n"/>
      <c r="H47" s="27" t="n"/>
      <c r="I47" s="27" t="n"/>
      <c r="J47" s="27" t="n"/>
      <c r="K47" s="27" t="n"/>
      <c r="L47" s="27" t="n"/>
      <c r="M47" s="27" t="n"/>
      <c r="N47" s="27" t="n"/>
      <c r="O47" s="27" t="n"/>
      <c r="P47" s="27" t="n"/>
      <c r="Q47" s="27" t="n"/>
      <c r="R47" s="1">
        <f>IF(B47="","",1)</f>
        <v/>
      </c>
      <c r="S47" s="8">
        <f>IF(B47="","",28-(V47+#REF!+#REF!+Z47+#REF!+#REF!+#REF!))</f>
        <v/>
      </c>
      <c r="T47" s="8" t="n"/>
      <c r="U47" s="8" t="n"/>
      <c r="V47" s="17" t="n"/>
      <c r="W47" s="17" t="n"/>
      <c r="X47" s="17" t="n"/>
      <c r="Y47" s="17" t="n"/>
      <c r="Z47" s="17" t="n"/>
      <c r="AA47" s="17" t="n"/>
      <c r="AB47" s="17" t="n"/>
      <c r="AC47" s="17" t="n"/>
      <c r="AD47" s="18" t="n"/>
      <c r="AE47" s="17" t="n"/>
      <c r="AF47" s="18" t="n"/>
      <c r="AG47" s="15" t="n"/>
      <c r="AH47" s="15" t="n"/>
      <c r="AI47" s="15" t="n"/>
      <c r="AJ47" s="15" t="n"/>
      <c r="AK47" s="15" t="n"/>
      <c r="AL47" s="15" t="n"/>
      <c r="AM47" s="15" t="n"/>
      <c r="AN47" s="15" t="n"/>
      <c r="AO47" s="15" t="n"/>
      <c r="AP47" s="15" t="n"/>
      <c r="AQ47" s="15" t="n"/>
      <c r="AR47" s="15" t="n"/>
      <c r="AS47" s="15" t="n"/>
      <c r="AT47" s="15" t="n"/>
      <c r="AU47" s="15" t="n"/>
      <c r="AV47" s="15" t="n"/>
    </row>
    <row r="48">
      <c r="A48" s="1" t="n">
        <v>45</v>
      </c>
      <c r="B48" s="7" t="inlineStr"/>
      <c r="C48" s="7" t="inlineStr"/>
      <c r="D48" s="7" t="inlineStr"/>
      <c r="E48" s="17" t="n"/>
      <c r="F48" s="22" t="n"/>
      <c r="G48" s="27" t="n"/>
      <c r="H48" s="27" t="n"/>
      <c r="I48" s="27" t="n"/>
      <c r="J48" s="27" t="n"/>
      <c r="K48" s="27" t="n"/>
      <c r="L48" s="27" t="n"/>
      <c r="M48" s="27" t="n"/>
      <c r="N48" s="27" t="n"/>
      <c r="O48" s="27" t="n"/>
      <c r="P48" s="27" t="n"/>
      <c r="Q48" s="27" t="n"/>
      <c r="R48" s="1">
        <f>IF(B48="","",1)</f>
        <v/>
      </c>
      <c r="S48" s="8">
        <f>IF(B48="","",28-(V48+#REF!+#REF!+Z48+#REF!+#REF!+#REF!))</f>
        <v/>
      </c>
      <c r="T48" s="8" t="n"/>
      <c r="U48" s="8" t="n"/>
      <c r="V48" s="17" t="n"/>
      <c r="W48" s="17" t="n"/>
      <c r="X48" s="17" t="n"/>
      <c r="Y48" s="17" t="n"/>
      <c r="Z48" s="17" t="n"/>
      <c r="AA48" s="17" t="n"/>
      <c r="AB48" s="17" t="n"/>
      <c r="AC48" s="17" t="n"/>
      <c r="AD48" s="18" t="n"/>
      <c r="AE48" s="17" t="n"/>
      <c r="AF48" s="18" t="n"/>
      <c r="AG48" s="15" t="n"/>
      <c r="AH48" s="15" t="n"/>
      <c r="AI48" s="15" t="n"/>
      <c r="AJ48" s="15" t="n"/>
      <c r="AK48" s="15" t="n"/>
      <c r="AL48" s="15" t="n"/>
      <c r="AM48" s="15" t="n"/>
      <c r="AN48" s="15" t="n"/>
      <c r="AO48" s="15" t="n"/>
      <c r="AP48" s="15" t="n"/>
      <c r="AQ48" s="15" t="n"/>
      <c r="AR48" s="15" t="n"/>
      <c r="AS48" s="15" t="n"/>
      <c r="AT48" s="15" t="n"/>
      <c r="AU48" s="15" t="n"/>
      <c r="AV48" s="15" t="n"/>
    </row>
    <row r="49">
      <c r="A49" s="1" t="n">
        <v>46</v>
      </c>
      <c r="B49" s="7" t="inlineStr"/>
      <c r="C49" s="7" t="inlineStr"/>
      <c r="D49" s="7" t="inlineStr"/>
      <c r="E49" s="17" t="n"/>
      <c r="F49" s="22" t="n"/>
      <c r="G49" s="27" t="n"/>
      <c r="H49" s="27" t="n"/>
      <c r="I49" s="27" t="n"/>
      <c r="J49" s="27" t="n"/>
      <c r="K49" s="27" t="n"/>
      <c r="L49" s="27" t="n"/>
      <c r="M49" s="27" t="n"/>
      <c r="N49" s="27" t="n"/>
      <c r="O49" s="27" t="n"/>
      <c r="P49" s="27" t="n"/>
      <c r="Q49" s="27" t="n"/>
      <c r="R49" s="1">
        <f>IF(B49="","",1)</f>
        <v/>
      </c>
      <c r="S49" s="8">
        <f>IF(B49="","",28-(V49+#REF!+#REF!+Z49+#REF!+#REF!+#REF!))</f>
        <v/>
      </c>
      <c r="T49" s="8" t="n"/>
      <c r="U49" s="8" t="n"/>
      <c r="V49" s="17" t="n"/>
      <c r="W49" s="17" t="n"/>
      <c r="X49" s="17" t="n"/>
      <c r="Y49" s="17" t="n"/>
      <c r="Z49" s="17" t="n"/>
      <c r="AA49" s="17" t="n"/>
      <c r="AB49" s="17" t="n"/>
      <c r="AC49" s="17" t="n"/>
      <c r="AD49" s="18" t="n"/>
      <c r="AE49" s="17" t="n"/>
      <c r="AF49" s="18" t="n"/>
      <c r="AG49" s="15" t="n"/>
      <c r="AH49" s="15" t="n"/>
      <c r="AI49" s="15" t="n"/>
      <c r="AJ49" s="15" t="n"/>
      <c r="AK49" s="15" t="n"/>
      <c r="AL49" s="15" t="n"/>
      <c r="AM49" s="15" t="n"/>
      <c r="AN49" s="15" t="n"/>
      <c r="AO49" s="15" t="n"/>
      <c r="AP49" s="15" t="n"/>
      <c r="AQ49" s="15" t="n"/>
      <c r="AR49" s="15" t="n"/>
      <c r="AS49" s="15" t="n"/>
      <c r="AT49" s="15" t="n"/>
      <c r="AU49" s="15" t="n"/>
      <c r="AV49" s="15" t="n"/>
    </row>
    <row r="50">
      <c r="A50" s="1" t="n">
        <v>47</v>
      </c>
      <c r="B50" s="7" t="inlineStr"/>
      <c r="C50" s="7" t="inlineStr"/>
      <c r="D50" s="7" t="inlineStr"/>
      <c r="E50" s="17" t="n"/>
      <c r="F50" s="22" t="n"/>
      <c r="G50" s="27" t="n"/>
      <c r="H50" s="27" t="n"/>
      <c r="I50" s="27" t="n"/>
      <c r="J50" s="27" t="n"/>
      <c r="K50" s="27" t="n"/>
      <c r="L50" s="27" t="n"/>
      <c r="M50" s="27" t="n"/>
      <c r="N50" s="27" t="n"/>
      <c r="O50" s="27" t="n"/>
      <c r="P50" s="27" t="n"/>
      <c r="Q50" s="27" t="n"/>
      <c r="R50" s="1">
        <f>IF(B50="","",1)</f>
        <v/>
      </c>
      <c r="S50" s="8">
        <f>IF(B50="","",28-(V50+#REF!+#REF!+Z50+#REF!+#REF!+#REF!))</f>
        <v/>
      </c>
      <c r="T50" s="8" t="n"/>
      <c r="U50" s="8" t="n"/>
      <c r="V50" s="17" t="n"/>
      <c r="W50" s="17" t="n"/>
      <c r="X50" s="17" t="n"/>
      <c r="Y50" s="17" t="n"/>
      <c r="Z50" s="17" t="n"/>
      <c r="AA50" s="17" t="n"/>
      <c r="AB50" s="17" t="n"/>
      <c r="AC50" s="17" t="n"/>
      <c r="AD50" s="18" t="n"/>
      <c r="AE50" s="17" t="n"/>
      <c r="AF50" s="18" t="n"/>
      <c r="AG50" s="15" t="n"/>
      <c r="AH50" s="15" t="n"/>
      <c r="AI50" s="15" t="n"/>
      <c r="AJ50" s="15" t="n"/>
      <c r="AK50" s="15" t="n"/>
      <c r="AL50" s="15" t="n"/>
      <c r="AM50" s="15" t="n"/>
      <c r="AN50" s="15" t="n"/>
      <c r="AO50" s="15" t="n"/>
      <c r="AP50" s="15" t="n"/>
      <c r="AQ50" s="15" t="n"/>
      <c r="AR50" s="15" t="n"/>
      <c r="AS50" s="15" t="n"/>
      <c r="AT50" s="15" t="n"/>
      <c r="AU50" s="15" t="n"/>
      <c r="AV50" s="15" t="n"/>
    </row>
    <row r="51">
      <c r="A51" s="1" t="n">
        <v>48</v>
      </c>
      <c r="B51" s="7" t="inlineStr"/>
      <c r="C51" s="7" t="inlineStr"/>
      <c r="D51" s="7" t="inlineStr"/>
      <c r="E51" s="17" t="n"/>
      <c r="F51" s="22" t="n"/>
      <c r="G51" s="27" t="n"/>
      <c r="H51" s="27" t="n"/>
      <c r="I51" s="27" t="n"/>
      <c r="J51" s="27" t="n"/>
      <c r="K51" s="27" t="n"/>
      <c r="L51" s="27" t="n"/>
      <c r="M51" s="27" t="n"/>
      <c r="N51" s="27" t="n"/>
      <c r="O51" s="27" t="n"/>
      <c r="P51" s="27" t="n"/>
      <c r="Q51" s="27" t="n"/>
      <c r="R51" s="1">
        <f>IF(B51="","",1)</f>
        <v/>
      </c>
      <c r="S51" s="8">
        <f>IF(B51="","",28-(V51+#REF!+#REF!+Z51+#REF!+#REF!+#REF!))</f>
        <v/>
      </c>
      <c r="T51" s="8" t="n"/>
      <c r="U51" s="8" t="n"/>
      <c r="V51" s="17" t="n"/>
      <c r="W51" s="17" t="n"/>
      <c r="X51" s="17" t="n"/>
      <c r="Y51" s="17" t="n"/>
      <c r="Z51" s="17" t="n"/>
      <c r="AA51" s="17" t="n"/>
      <c r="AB51" s="17" t="n"/>
      <c r="AC51" s="17" t="n"/>
      <c r="AD51" s="18" t="n"/>
      <c r="AE51" s="17" t="n"/>
      <c r="AF51" s="18" t="n"/>
      <c r="AG51" s="15" t="n"/>
      <c r="AH51" s="15" t="n"/>
      <c r="AI51" s="15" t="n"/>
      <c r="AJ51" s="15" t="n"/>
      <c r="AK51" s="15" t="n"/>
      <c r="AL51" s="15" t="n"/>
      <c r="AM51" s="15" t="n"/>
      <c r="AN51" s="15" t="n"/>
      <c r="AO51" s="15" t="n"/>
      <c r="AP51" s="15" t="n"/>
      <c r="AQ51" s="15" t="n"/>
      <c r="AR51" s="15" t="n"/>
      <c r="AS51" s="15" t="n"/>
      <c r="AT51" s="15" t="n"/>
      <c r="AU51" s="15" t="n"/>
      <c r="AV51" s="15" t="n"/>
    </row>
    <row r="52">
      <c r="A52" s="1" t="n">
        <v>49</v>
      </c>
      <c r="B52" s="7" t="inlineStr"/>
      <c r="C52" s="7" t="inlineStr"/>
      <c r="D52" s="7" t="inlineStr"/>
      <c r="E52" s="17" t="n"/>
      <c r="F52" s="22" t="n"/>
      <c r="G52" s="27" t="n"/>
      <c r="H52" s="27" t="n"/>
      <c r="I52" s="27" t="n"/>
      <c r="J52" s="27" t="n"/>
      <c r="K52" s="27" t="n"/>
      <c r="L52" s="27" t="n"/>
      <c r="M52" s="27" t="n"/>
      <c r="N52" s="27" t="n"/>
      <c r="O52" s="27" t="n"/>
      <c r="P52" s="27" t="n"/>
      <c r="Q52" s="27" t="n"/>
      <c r="R52" s="1">
        <f>IF(B52="","",1)</f>
        <v/>
      </c>
      <c r="S52" s="8">
        <f>IF(B52="","",28-(V52+#REF!+#REF!+Z52+#REF!+#REF!+#REF!))</f>
        <v/>
      </c>
      <c r="T52" s="8" t="n"/>
      <c r="U52" s="8" t="n"/>
      <c r="V52" s="17" t="n"/>
      <c r="W52" s="17" t="n"/>
      <c r="X52" s="17" t="n"/>
      <c r="Y52" s="17" t="n"/>
      <c r="Z52" s="17" t="n"/>
      <c r="AA52" s="17" t="n"/>
      <c r="AB52" s="17" t="n"/>
      <c r="AC52" s="17" t="n"/>
      <c r="AD52" s="18" t="n"/>
      <c r="AE52" s="17" t="n"/>
      <c r="AF52" s="18" t="n"/>
      <c r="AG52" s="15" t="n"/>
      <c r="AH52" s="15" t="n"/>
      <c r="AI52" s="15" t="n"/>
      <c r="AJ52" s="15" t="n"/>
      <c r="AK52" s="15" t="n"/>
      <c r="AL52" s="15" t="n"/>
      <c r="AM52" s="15" t="n"/>
      <c r="AN52" s="15" t="n"/>
      <c r="AO52" s="15" t="n"/>
      <c r="AP52" s="15" t="n"/>
      <c r="AQ52" s="15" t="n"/>
      <c r="AR52" s="15" t="n"/>
      <c r="AS52" s="15" t="n"/>
      <c r="AT52" s="15" t="n"/>
      <c r="AU52" s="15" t="n"/>
      <c r="AV52" s="15" t="n"/>
    </row>
    <row r="53">
      <c r="A53" s="1" t="n">
        <v>50</v>
      </c>
      <c r="B53" s="7" t="inlineStr"/>
      <c r="C53" s="7" t="inlineStr"/>
      <c r="D53" s="7" t="inlineStr"/>
      <c r="E53" s="17" t="n"/>
      <c r="F53" s="22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  <c r="R53" s="1">
        <f>IF(B53="","",1)</f>
        <v/>
      </c>
      <c r="S53" s="8">
        <f>IF(B53="","",28-(V53+#REF!+#REF!+Z53+#REF!+#REF!+#REF!))</f>
        <v/>
      </c>
      <c r="T53" s="8" t="n"/>
      <c r="U53" s="8" t="n"/>
      <c r="V53" s="17" t="n"/>
      <c r="W53" s="17" t="n"/>
      <c r="X53" s="17" t="n"/>
      <c r="Y53" s="17" t="n"/>
      <c r="Z53" s="17" t="n"/>
      <c r="AA53" s="17" t="n"/>
      <c r="AB53" s="17" t="n"/>
      <c r="AC53" s="17" t="n"/>
      <c r="AD53" s="18" t="n"/>
      <c r="AE53" s="17" t="n"/>
      <c r="AF53" s="18" t="n"/>
      <c r="AG53" s="15" t="n"/>
      <c r="AH53" s="15" t="n"/>
      <c r="AI53" s="15" t="n"/>
      <c r="AJ53" s="15" t="n"/>
      <c r="AK53" s="15" t="n"/>
      <c r="AL53" s="15" t="n"/>
      <c r="AM53" s="15" t="n"/>
      <c r="AN53" s="15" t="n"/>
      <c r="AO53" s="15" t="n"/>
      <c r="AP53" s="15" t="n"/>
      <c r="AQ53" s="15" t="n"/>
      <c r="AR53" s="15" t="n"/>
      <c r="AS53" s="15" t="n"/>
      <c r="AT53" s="15" t="n"/>
      <c r="AU53" s="15" t="n"/>
      <c r="AV53" s="15" t="n"/>
    </row>
    <row r="54" ht="90.75" customHeight="1" s="79">
      <c r="E54" s="1" t="n"/>
      <c r="F54" s="8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29" t="n"/>
      <c r="R54" s="10" t="n"/>
      <c r="S54" s="11" t="n"/>
      <c r="T54" s="11" t="n"/>
      <c r="U54" s="11" t="n"/>
      <c r="V54" s="1" t="n"/>
      <c r="W54" s="1" t="n"/>
      <c r="X54" s="1" t="n"/>
      <c r="Y54" s="1" t="n"/>
      <c r="Z54" s="1" t="n"/>
      <c r="AA54" s="1" t="n"/>
      <c r="AB54" s="1" t="n"/>
      <c r="AC54" s="1" t="n"/>
    </row>
  </sheetData>
  <autoFilter ref="A3:AV54"/>
  <mergeCells count="29">
    <mergeCell ref="AF1:AF3"/>
    <mergeCell ref="AO2:AV2"/>
    <mergeCell ref="M2:M3"/>
    <mergeCell ref="AE2:AE3"/>
    <mergeCell ref="N2:N3"/>
    <mergeCell ref="R2:U2"/>
    <mergeCell ref="F2:F3"/>
    <mergeCell ref="P2:P3"/>
    <mergeCell ref="H2:H3"/>
    <mergeCell ref="D1:D3"/>
    <mergeCell ref="AD1:AE1"/>
    <mergeCell ref="AG2:AN2"/>
    <mergeCell ref="V2:Y2"/>
    <mergeCell ref="AD2:AD3"/>
    <mergeCell ref="K2:K3"/>
    <mergeCell ref="AG1:AV1"/>
    <mergeCell ref="A1:A3"/>
    <mergeCell ref="F1:Q1"/>
    <mergeCell ref="O2:O3"/>
    <mergeCell ref="Q2:Q3"/>
    <mergeCell ref="E1:E3"/>
    <mergeCell ref="R1:AC1"/>
    <mergeCell ref="J2:J3"/>
    <mergeCell ref="L2:L3"/>
    <mergeCell ref="B1:B3"/>
    <mergeCell ref="C1:C3"/>
    <mergeCell ref="Z2:AC2"/>
    <mergeCell ref="G2:G3"/>
    <mergeCell ref="I2:I3"/>
  </mergeCells>
  <pageMargins left="0.7" right="0.7" top="0.75" bottom="0.75" header="0.3" footer="0.3"/>
  <pageSetup orientation="landscape" paperSize="8" scale="64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G20" sqref="G20"/>
    </sheetView>
  </sheetViews>
  <sheetFormatPr baseColWidth="8" defaultColWidth="8.875" defaultRowHeight="18"/>
  <cols>
    <col width="59.625" bestFit="1" customWidth="1" style="79" min="1" max="1"/>
  </cols>
  <sheetData>
    <row r="1">
      <c r="A1" s="1" t="inlineStr">
        <is>
          <t>部署固有の要求</t>
        </is>
      </c>
    </row>
    <row r="2">
      <c r="A2" s="17" t="inlineStr">
        <is>
          <t>夜勤師長は一日当たり一名でよい</t>
        </is>
      </c>
    </row>
    <row r="3">
      <c r="A3" s="17" t="inlineStr">
        <is>
          <t>師長の日勤は平日のみだが、師長勤務表は夜勤のみを割り当てるだけでよい</t>
        </is>
      </c>
    </row>
    <row r="4">
      <c r="A4" s="17" t="inlineStr">
        <is>
          <t>年間を通して火曜日N、Jの回数を均等に振り分けたい</t>
        </is>
      </c>
    </row>
    <row r="5">
      <c r="A5" s="17" t="n"/>
    </row>
    <row r="6">
      <c r="A6" s="17" t="n"/>
    </row>
    <row r="7">
      <c r="A7" s="17" t="n"/>
    </row>
    <row r="8">
      <c r="A8" s="17" t="n"/>
    </row>
    <row r="9">
      <c r="A9" s="17" t="n"/>
    </row>
    <row r="10">
      <c r="A10" s="17" t="n"/>
    </row>
    <row r="11">
      <c r="A11" s="17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2025-11-25T02:29:00Z</dcterms:modified>
  <cp:lastModifiedBy>tomokoa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